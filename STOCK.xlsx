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m\Desktop\"/>
    </mc:Choice>
  </mc:AlternateContent>
  <bookViews>
    <workbookView xWindow="0" yWindow="0" windowWidth="21600" windowHeight="9735"/>
  </bookViews>
  <sheets>
    <sheet name="RECEIPT" sheetId="3" r:id="rId1"/>
    <sheet name="ISSUE" sheetId="2" r:id="rId2"/>
    <sheet name="BALANCE" sheetId="1" r:id="rId3"/>
  </sheets>
  <definedNames>
    <definedName name="_xlnm._FilterDatabase" localSheetId="2" hidden="1">BALANCE!$A$1:$G$476</definedName>
    <definedName name="_xlnm._FilterDatabase" localSheetId="1" hidden="1">ISSUE!$A$1:$M$533</definedName>
    <definedName name="_xlnm._FilterDatabase" localSheetId="0" hidden="1">RECEIPT!$A$1:$N$476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76" i="2" l="1"/>
  <c r="BC77" i="2" l="1"/>
  <c r="B9" i="2" l="1"/>
  <c r="G312" i="1"/>
  <c r="BC69" i="2"/>
  <c r="BC68" i="2"/>
  <c r="BC67" i="2"/>
  <c r="BC66" i="2"/>
  <c r="BC65" i="2"/>
  <c r="BC64" i="2"/>
  <c r="Q38" i="3"/>
  <c r="Q4" i="3"/>
  <c r="Q3" i="3"/>
  <c r="Q2" i="3"/>
  <c r="BC39" i="2"/>
  <c r="F39" i="1" s="1"/>
  <c r="G39" i="1" s="1"/>
  <c r="Q88" i="3"/>
  <c r="B393" i="1" l="1"/>
  <c r="Q110" i="3" l="1"/>
  <c r="Q109" i="3"/>
  <c r="B238" i="1"/>
  <c r="B375" i="1"/>
  <c r="B181" i="1" l="1"/>
  <c r="B109" i="1" l="1"/>
  <c r="BC109" i="2"/>
  <c r="F109" i="1" s="1"/>
  <c r="G109" i="1" s="1"/>
  <c r="BC110" i="2"/>
  <c r="F110" i="1" s="1"/>
  <c r="G110" i="1" s="1"/>
  <c r="B109" i="2"/>
  <c r="B110" i="2"/>
  <c r="E109" i="1"/>
  <c r="E110" i="1"/>
  <c r="B110" i="1"/>
  <c r="B108" i="1"/>
  <c r="Q154" i="3" l="1"/>
  <c r="E154" i="1" s="1"/>
  <c r="Q155" i="3"/>
  <c r="BC154" i="2"/>
  <c r="F154" i="1" s="1"/>
  <c r="G154" i="1" s="1"/>
  <c r="B154" i="2"/>
  <c r="B154" i="1"/>
  <c r="O76" i="2" l="1"/>
  <c r="B327" i="1"/>
  <c r="B298" i="1"/>
  <c r="B216" i="2" l="1"/>
  <c r="BC3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70" i="2"/>
  <c r="BC71" i="2"/>
  <c r="BC72" i="2"/>
  <c r="BC73" i="2"/>
  <c r="BC74" i="2"/>
  <c r="BC75" i="2"/>
  <c r="BC78" i="2"/>
  <c r="BC79" i="2"/>
  <c r="BC80" i="2"/>
  <c r="BC81" i="2"/>
  <c r="BC82" i="2"/>
  <c r="BC83" i="2"/>
  <c r="F84" i="1" s="1"/>
  <c r="G84" i="1" s="1"/>
  <c r="BC84" i="2"/>
  <c r="BC85" i="2"/>
  <c r="BC86" i="2"/>
  <c r="BC87" i="2"/>
  <c r="BC88" i="2"/>
  <c r="BC89" i="2"/>
  <c r="BC90" i="2"/>
  <c r="BC91" i="2"/>
  <c r="BC92" i="2"/>
  <c r="BC93" i="2"/>
  <c r="BC94" i="2"/>
  <c r="BC95" i="2"/>
  <c r="BC96" i="2"/>
  <c r="BC97" i="2"/>
  <c r="BC98" i="2"/>
  <c r="BC99" i="2"/>
  <c r="BC100" i="2"/>
  <c r="BC101" i="2"/>
  <c r="BC102" i="2"/>
  <c r="BC103" i="2"/>
  <c r="BC104" i="2"/>
  <c r="BC105" i="2"/>
  <c r="BC106" i="2"/>
  <c r="BC107" i="2"/>
  <c r="BC108" i="2"/>
  <c r="BC111" i="2"/>
  <c r="BC112" i="2"/>
  <c r="BC113" i="2"/>
  <c r="BC114" i="2"/>
  <c r="BC115" i="2"/>
  <c r="BC116" i="2"/>
  <c r="BC117" i="2"/>
  <c r="BC118" i="2"/>
  <c r="BC119" i="2"/>
  <c r="BC120" i="2"/>
  <c r="BC121" i="2"/>
  <c r="BC122" i="2"/>
  <c r="BC123" i="2"/>
  <c r="BC124" i="2"/>
  <c r="BC125" i="2"/>
  <c r="BC126" i="2"/>
  <c r="BC127" i="2"/>
  <c r="BC128" i="2"/>
  <c r="BC129" i="2"/>
  <c r="BC130" i="2"/>
  <c r="BC131" i="2"/>
  <c r="BC132" i="2"/>
  <c r="BC133" i="2"/>
  <c r="BC134" i="2"/>
  <c r="BC135" i="2"/>
  <c r="BC136" i="2"/>
  <c r="BC137" i="2"/>
  <c r="BC138" i="2"/>
  <c r="BC139" i="2"/>
  <c r="BC140" i="2"/>
  <c r="BC141" i="2"/>
  <c r="BC142" i="2"/>
  <c r="BC143" i="2"/>
  <c r="BC144" i="2"/>
  <c r="BC145" i="2"/>
  <c r="BC146" i="2"/>
  <c r="BC147" i="2"/>
  <c r="BC148" i="2"/>
  <c r="BC149" i="2"/>
  <c r="BC150" i="2"/>
  <c r="BC151" i="2"/>
  <c r="BC152" i="2"/>
  <c r="BC153" i="2"/>
  <c r="BC155" i="2"/>
  <c r="BC156" i="2"/>
  <c r="BC157" i="2"/>
  <c r="BC158" i="2"/>
  <c r="BC159" i="2"/>
  <c r="BC160" i="2"/>
  <c r="BC161" i="2"/>
  <c r="BC162" i="2"/>
  <c r="BC163" i="2"/>
  <c r="BC164" i="2"/>
  <c r="BC165" i="2"/>
  <c r="BC166" i="2"/>
  <c r="BC167" i="2"/>
  <c r="BC168" i="2"/>
  <c r="BC169" i="2"/>
  <c r="BC170" i="2"/>
  <c r="BC171" i="2"/>
  <c r="BC172" i="2"/>
  <c r="BC173" i="2"/>
  <c r="BC174" i="2"/>
  <c r="BC175" i="2"/>
  <c r="BC176" i="2"/>
  <c r="BC177" i="2"/>
  <c r="BC178" i="2"/>
  <c r="BC179" i="2"/>
  <c r="BC180" i="2"/>
  <c r="BC181" i="2"/>
  <c r="BC182" i="2"/>
  <c r="BC183" i="2"/>
  <c r="BC184" i="2"/>
  <c r="BC185" i="2"/>
  <c r="BC186" i="2"/>
  <c r="BC187" i="2"/>
  <c r="BC188" i="2"/>
  <c r="BC189" i="2"/>
  <c r="BC190" i="2"/>
  <c r="BC191" i="2"/>
  <c r="BC192" i="2"/>
  <c r="BC193" i="2"/>
  <c r="BC194" i="2"/>
  <c r="BC195" i="2"/>
  <c r="BC196" i="2"/>
  <c r="BC197" i="2"/>
  <c r="BC198" i="2"/>
  <c r="BC199" i="2"/>
  <c r="BC200" i="2"/>
  <c r="BC201" i="2"/>
  <c r="BC202" i="2"/>
  <c r="BC203" i="2"/>
  <c r="BC204" i="2"/>
  <c r="BC205" i="2"/>
  <c r="BC206" i="2"/>
  <c r="BC207" i="2"/>
  <c r="BC208" i="2"/>
  <c r="BC209" i="2"/>
  <c r="BC210" i="2"/>
  <c r="BC211" i="2"/>
  <c r="BC212" i="2"/>
  <c r="BC213" i="2"/>
  <c r="BC214" i="2"/>
  <c r="BC215" i="2"/>
  <c r="BC216" i="2"/>
  <c r="BC217" i="2"/>
  <c r="BC218" i="2"/>
  <c r="BC219" i="2"/>
  <c r="BC220" i="2"/>
  <c r="BC221" i="2"/>
  <c r="BC222" i="2"/>
  <c r="BC223" i="2"/>
  <c r="BC224" i="2"/>
  <c r="BC225" i="2"/>
  <c r="BC226" i="2"/>
  <c r="BC227" i="2"/>
  <c r="BC228" i="2"/>
  <c r="BC229" i="2"/>
  <c r="BC230" i="2"/>
  <c r="BC231" i="2"/>
  <c r="BC232" i="2"/>
  <c r="BC233" i="2"/>
  <c r="BC234" i="2"/>
  <c r="BC235" i="2"/>
  <c r="BC236" i="2"/>
  <c r="BC237" i="2"/>
  <c r="BC238" i="2"/>
  <c r="BC239" i="2"/>
  <c r="BC240" i="2"/>
  <c r="BC241" i="2"/>
  <c r="BC242" i="2"/>
  <c r="BC243" i="2"/>
  <c r="BC244" i="2"/>
  <c r="BC245" i="2"/>
  <c r="BC246" i="2"/>
  <c r="BC247" i="2"/>
  <c r="BC248" i="2"/>
  <c r="BC249" i="2"/>
  <c r="BC250" i="2"/>
  <c r="BC251" i="2"/>
  <c r="BC252" i="2"/>
  <c r="BC253" i="2"/>
  <c r="BC254" i="2"/>
  <c r="BC255" i="2"/>
  <c r="BC256" i="2"/>
  <c r="BC257" i="2"/>
  <c r="BC258" i="2"/>
  <c r="BC259" i="2"/>
  <c r="BC260" i="2"/>
  <c r="BC261" i="2"/>
  <c r="BC262" i="2"/>
  <c r="BC263" i="2"/>
  <c r="BC264" i="2"/>
  <c r="BC265" i="2"/>
  <c r="BC266" i="2"/>
  <c r="BC267" i="2"/>
  <c r="BC268" i="2"/>
  <c r="BC269" i="2"/>
  <c r="BC270" i="2"/>
  <c r="BC271" i="2"/>
  <c r="BC272" i="2"/>
  <c r="BC273" i="2"/>
  <c r="BC274" i="2"/>
  <c r="BC275" i="2"/>
  <c r="BC276" i="2"/>
  <c r="BC277" i="2"/>
  <c r="BC278" i="2"/>
  <c r="BC279" i="2"/>
  <c r="BC280" i="2"/>
  <c r="BC281" i="2"/>
  <c r="BC282" i="2"/>
  <c r="BC283" i="2"/>
  <c r="BC284" i="2"/>
  <c r="BC285" i="2"/>
  <c r="BC286" i="2"/>
  <c r="BC287" i="2"/>
  <c r="BC288" i="2"/>
  <c r="BC289" i="2"/>
  <c r="BC290" i="2"/>
  <c r="BC291" i="2"/>
  <c r="BC292" i="2"/>
  <c r="BC293" i="2"/>
  <c r="BC294" i="2"/>
  <c r="BC295" i="2"/>
  <c r="BC296" i="2"/>
  <c r="BC297" i="2"/>
  <c r="BC298" i="2"/>
  <c r="BC299" i="2"/>
  <c r="BC300" i="2"/>
  <c r="BC301" i="2"/>
  <c r="BC302" i="2"/>
  <c r="BC303" i="2"/>
  <c r="BC304" i="2"/>
  <c r="BC305" i="2"/>
  <c r="BC306" i="2"/>
  <c r="BC307" i="2"/>
  <c r="BC308" i="2"/>
  <c r="BC309" i="2"/>
  <c r="BC310" i="2"/>
  <c r="BC311" i="2"/>
  <c r="BC312" i="2"/>
  <c r="BC313" i="2"/>
  <c r="BC314" i="2"/>
  <c r="BC315" i="2"/>
  <c r="BC316" i="2"/>
  <c r="BC317" i="2"/>
  <c r="BC318" i="2"/>
  <c r="BC319" i="2"/>
  <c r="BC320" i="2"/>
  <c r="BC321" i="2"/>
  <c r="BC322" i="2"/>
  <c r="BC323" i="2"/>
  <c r="BC324" i="2"/>
  <c r="BC325" i="2"/>
  <c r="BC326" i="2"/>
  <c r="BC327" i="2"/>
  <c r="BC328" i="2"/>
  <c r="BC329" i="2"/>
  <c r="BC330" i="2"/>
  <c r="BC331" i="2"/>
  <c r="BC332" i="2"/>
  <c r="BC333" i="2"/>
  <c r="BC334" i="2"/>
  <c r="BC335" i="2"/>
  <c r="BC336" i="2"/>
  <c r="BC337" i="2"/>
  <c r="BC338" i="2"/>
  <c r="BC339" i="2"/>
  <c r="BC340" i="2"/>
  <c r="BC341" i="2"/>
  <c r="BC342" i="2"/>
  <c r="BC343" i="2"/>
  <c r="BC344" i="2"/>
  <c r="BC345" i="2"/>
  <c r="BC346" i="2"/>
  <c r="BC347" i="2"/>
  <c r="BC348" i="2"/>
  <c r="BC349" i="2"/>
  <c r="BC350" i="2"/>
  <c r="BC351" i="2"/>
  <c r="BC352" i="2"/>
  <c r="BC353" i="2"/>
  <c r="BC354" i="2"/>
  <c r="BC355" i="2"/>
  <c r="BC356" i="2"/>
  <c r="BC357" i="2"/>
  <c r="BC358" i="2"/>
  <c r="BC359" i="2"/>
  <c r="BC360" i="2"/>
  <c r="BC361" i="2"/>
  <c r="BC362" i="2"/>
  <c r="BC363" i="2"/>
  <c r="BC364" i="2"/>
  <c r="BC365" i="2"/>
  <c r="BC366" i="2"/>
  <c r="BC367" i="2"/>
  <c r="BC368" i="2"/>
  <c r="BC369" i="2"/>
  <c r="BC370" i="2"/>
  <c r="BC371" i="2"/>
  <c r="BC372" i="2"/>
  <c r="BC373" i="2"/>
  <c r="BC374" i="2"/>
  <c r="BC375" i="2"/>
  <c r="BC376" i="2"/>
  <c r="BC377" i="2"/>
  <c r="BC378" i="2"/>
  <c r="BC379" i="2"/>
  <c r="BC380" i="2"/>
  <c r="BC381" i="2"/>
  <c r="BC382" i="2"/>
  <c r="BC383" i="2"/>
  <c r="BC384" i="2"/>
  <c r="BC385" i="2"/>
  <c r="BC386" i="2"/>
  <c r="BC387" i="2"/>
  <c r="BC388" i="2"/>
  <c r="BC389" i="2"/>
  <c r="BC390" i="2"/>
  <c r="BC391" i="2"/>
  <c r="BC392" i="2"/>
  <c r="BC393" i="2"/>
  <c r="BC394" i="2"/>
  <c r="BC395" i="2"/>
  <c r="BC396" i="2"/>
  <c r="BC397" i="2"/>
  <c r="BC398" i="2"/>
  <c r="BC399" i="2"/>
  <c r="BC400" i="2"/>
  <c r="BC401" i="2"/>
  <c r="BC402" i="2"/>
  <c r="BC403" i="2"/>
  <c r="BC404" i="2"/>
  <c r="BC405" i="2"/>
  <c r="BC406" i="2"/>
  <c r="BC407" i="2"/>
  <c r="BC408" i="2"/>
  <c r="BC409" i="2"/>
  <c r="BC410" i="2"/>
  <c r="BC411" i="2"/>
  <c r="BC412" i="2"/>
  <c r="BC413" i="2"/>
  <c r="BC414" i="2"/>
  <c r="BC415" i="2"/>
  <c r="BC416" i="2"/>
  <c r="BC417" i="2"/>
  <c r="BC418" i="2"/>
  <c r="BC419" i="2"/>
  <c r="BC420" i="2"/>
  <c r="BC421" i="2"/>
  <c r="BC422" i="2"/>
  <c r="BC423" i="2"/>
  <c r="BC424" i="2"/>
  <c r="BC425" i="2"/>
  <c r="BC426" i="2"/>
  <c r="BC427" i="2"/>
  <c r="BC428" i="2"/>
  <c r="BC429" i="2"/>
  <c r="BC430" i="2"/>
  <c r="BC431" i="2"/>
  <c r="BC432" i="2"/>
  <c r="BC433" i="2"/>
  <c r="BC434" i="2"/>
  <c r="BC435" i="2"/>
  <c r="BC436" i="2"/>
  <c r="BC437" i="2"/>
  <c r="BC438" i="2"/>
  <c r="BC439" i="2"/>
  <c r="BC440" i="2"/>
  <c r="BC441" i="2"/>
  <c r="BC442" i="2"/>
  <c r="BC443" i="2"/>
  <c r="BC444" i="2"/>
  <c r="BC445" i="2"/>
  <c r="BC446" i="2"/>
  <c r="BC447" i="2"/>
  <c r="BC448" i="2"/>
  <c r="BC449" i="2"/>
  <c r="BC450" i="2"/>
  <c r="BC451" i="2"/>
  <c r="BC452" i="2"/>
  <c r="BC453" i="2"/>
  <c r="BC454" i="2"/>
  <c r="BC455" i="2"/>
  <c r="BC456" i="2"/>
  <c r="BC457" i="2"/>
  <c r="BC458" i="2"/>
  <c r="BC459" i="2"/>
  <c r="BC460" i="2"/>
  <c r="BC461" i="2"/>
  <c r="BC462" i="2"/>
  <c r="BC463" i="2"/>
  <c r="BC464" i="2"/>
  <c r="BC465" i="2"/>
  <c r="BC466" i="2"/>
  <c r="BC467" i="2"/>
  <c r="BC468" i="2"/>
  <c r="BC469" i="2"/>
  <c r="BC470" i="2"/>
  <c r="BC471" i="2"/>
  <c r="BC472" i="2"/>
  <c r="BC473" i="2"/>
  <c r="BC474" i="2"/>
  <c r="BC475" i="2"/>
  <c r="BC476" i="2"/>
  <c r="BC2" i="2"/>
  <c r="B376" i="1" l="1"/>
  <c r="B3" i="2" l="1"/>
  <c r="B4" i="2"/>
  <c r="B5" i="2"/>
  <c r="B6" i="2"/>
  <c r="B7" i="2"/>
  <c r="B8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2" i="2"/>
  <c r="B345" i="1" l="1"/>
  <c r="Q238" i="3" l="1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B339" i="1" l="1"/>
  <c r="B340" i="1"/>
  <c r="B333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8" i="1"/>
  <c r="B329" i="1"/>
  <c r="B330" i="1"/>
  <c r="B331" i="1"/>
  <c r="B332" i="1"/>
  <c r="B334" i="1"/>
  <c r="B335" i="1"/>
  <c r="B336" i="1"/>
  <c r="B337" i="1"/>
  <c r="B338" i="1"/>
  <c r="B341" i="1"/>
  <c r="B342" i="1"/>
  <c r="B343" i="1"/>
  <c r="B344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198" i="1"/>
  <c r="B199" i="1"/>
  <c r="B200" i="1"/>
  <c r="B201" i="1"/>
  <c r="B210" i="1"/>
  <c r="B211" i="1"/>
  <c r="B212" i="1"/>
  <c r="B213" i="1"/>
  <c r="E184" i="1"/>
  <c r="F184" i="1"/>
  <c r="G184" i="1" s="1"/>
  <c r="E185" i="1"/>
  <c r="F185" i="1"/>
  <c r="G185" i="1" s="1"/>
  <c r="E186" i="1"/>
  <c r="F186" i="1"/>
  <c r="G186" i="1" s="1"/>
  <c r="E187" i="1"/>
  <c r="F187" i="1"/>
  <c r="G187" i="1" s="1"/>
  <c r="E188" i="1"/>
  <c r="F188" i="1"/>
  <c r="G188" i="1" s="1"/>
  <c r="E189" i="1"/>
  <c r="F189" i="1"/>
  <c r="G189" i="1" s="1"/>
  <c r="E190" i="1"/>
  <c r="F190" i="1"/>
  <c r="G190" i="1" s="1"/>
  <c r="E191" i="1"/>
  <c r="F191" i="1"/>
  <c r="G191" i="1" s="1"/>
  <c r="E192" i="1"/>
  <c r="F192" i="1"/>
  <c r="G192" i="1" s="1"/>
  <c r="B184" i="1"/>
  <c r="B185" i="1"/>
  <c r="B186" i="1"/>
  <c r="B187" i="1"/>
  <c r="B188" i="1"/>
  <c r="B189" i="1"/>
  <c r="B190" i="1"/>
  <c r="B191" i="1"/>
  <c r="B192" i="1"/>
  <c r="Q171" i="3"/>
  <c r="E171" i="1" s="1"/>
  <c r="F171" i="1"/>
  <c r="G171" i="1" s="1"/>
  <c r="B171" i="1"/>
  <c r="B15" i="1" l="1"/>
  <c r="B172" i="1" l="1"/>
  <c r="B173" i="1"/>
  <c r="B174" i="1"/>
  <c r="B175" i="1"/>
  <c r="B176" i="1"/>
  <c r="B177" i="1"/>
  <c r="B142" i="1" l="1"/>
  <c r="B106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7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3" i="1"/>
  <c r="B144" i="1"/>
  <c r="B145" i="1"/>
  <c r="B146" i="1"/>
  <c r="B147" i="1"/>
  <c r="B148" i="1"/>
  <c r="B149" i="1"/>
  <c r="B150" i="1"/>
  <c r="B151" i="1"/>
  <c r="B152" i="1"/>
  <c r="B153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8" i="1"/>
  <c r="B179" i="1"/>
  <c r="B180" i="1"/>
  <c r="B182" i="1"/>
  <c r="B183" i="1"/>
  <c r="B193" i="1"/>
  <c r="B194" i="1"/>
  <c r="B195" i="1"/>
  <c r="B196" i="1"/>
  <c r="B197" i="1"/>
  <c r="B202" i="1"/>
  <c r="B203" i="1"/>
  <c r="B204" i="1"/>
  <c r="B205" i="1"/>
  <c r="B206" i="1"/>
  <c r="B207" i="1"/>
  <c r="B208" i="1"/>
  <c r="B209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9" i="1"/>
  <c r="B3" i="1" l="1"/>
  <c r="B4" i="1"/>
  <c r="B5" i="1"/>
  <c r="B6" i="1"/>
  <c r="B7" i="1"/>
  <c r="B8" i="1"/>
  <c r="B9" i="1"/>
  <c r="B10" i="1"/>
  <c r="B11" i="1"/>
  <c r="B12" i="1"/>
  <c r="B13" i="1"/>
  <c r="B14" i="1"/>
  <c r="B17" i="1"/>
  <c r="B18" i="1"/>
  <c r="B19" i="1" l="1"/>
  <c r="B20" i="1"/>
  <c r="B21" i="1"/>
  <c r="B22" i="1"/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E3" i="1"/>
  <c r="E4" i="1"/>
  <c r="Q5" i="3"/>
  <c r="E5" i="1" s="1"/>
  <c r="Q6" i="3"/>
  <c r="E6" i="1" s="1"/>
  <c r="Q7" i="3"/>
  <c r="E7" i="1" s="1"/>
  <c r="Q8" i="3"/>
  <c r="E8" i="1" s="1"/>
  <c r="Q9" i="3"/>
  <c r="E9" i="1" s="1"/>
  <c r="Q10" i="3"/>
  <c r="E10" i="1" s="1"/>
  <c r="Q11" i="3"/>
  <c r="E11" i="1" s="1"/>
  <c r="Q12" i="3"/>
  <c r="E12" i="1" s="1"/>
  <c r="Q13" i="3"/>
  <c r="E13" i="1" s="1"/>
  <c r="Q14" i="3"/>
  <c r="E14" i="1" s="1"/>
  <c r="Q15" i="3"/>
  <c r="E15" i="1" s="1"/>
  <c r="Q16" i="3"/>
  <c r="E16" i="1" s="1"/>
  <c r="Q17" i="3"/>
  <c r="E17" i="1" s="1"/>
  <c r="Q18" i="3"/>
  <c r="E18" i="1" s="1"/>
  <c r="Q19" i="3"/>
  <c r="E19" i="1" s="1"/>
  <c r="Q20" i="3"/>
  <c r="E20" i="1" s="1"/>
  <c r="Q21" i="3"/>
  <c r="E21" i="1" s="1"/>
  <c r="Q22" i="3"/>
  <c r="E22" i="1" s="1"/>
  <c r="Q23" i="3"/>
  <c r="E23" i="1" s="1"/>
  <c r="Q24" i="3"/>
  <c r="E24" i="1" s="1"/>
  <c r="Q25" i="3"/>
  <c r="E25" i="1" s="1"/>
  <c r="Q26" i="3"/>
  <c r="E26" i="1" s="1"/>
  <c r="Q27" i="3"/>
  <c r="E27" i="1" s="1"/>
  <c r="Q28" i="3"/>
  <c r="E28" i="1" s="1"/>
  <c r="Q29" i="3"/>
  <c r="E29" i="1" s="1"/>
  <c r="Q30" i="3"/>
  <c r="E30" i="1" s="1"/>
  <c r="Q31" i="3"/>
  <c r="E31" i="1" s="1"/>
  <c r="Q32" i="3"/>
  <c r="E32" i="1" s="1"/>
  <c r="Q33" i="3"/>
  <c r="E33" i="1" s="1"/>
  <c r="Q34" i="3"/>
  <c r="E34" i="1" s="1"/>
  <c r="Q35" i="3"/>
  <c r="E35" i="1" s="1"/>
  <c r="Q36" i="3"/>
  <c r="E36" i="1" s="1"/>
  <c r="Q37" i="3"/>
  <c r="E37" i="1" s="1"/>
  <c r="E38" i="1"/>
  <c r="Q39" i="3"/>
  <c r="E39" i="1" s="1"/>
  <c r="Q40" i="3"/>
  <c r="E40" i="1" s="1"/>
  <c r="Q41" i="3"/>
  <c r="E41" i="1" s="1"/>
  <c r="Q42" i="3"/>
  <c r="E42" i="1" s="1"/>
  <c r="Q43" i="3"/>
  <c r="E43" i="1" s="1"/>
  <c r="Q44" i="3"/>
  <c r="E44" i="1" s="1"/>
  <c r="Q45" i="3"/>
  <c r="E45" i="1" s="1"/>
  <c r="Q46" i="3"/>
  <c r="E46" i="1" s="1"/>
  <c r="Q47" i="3"/>
  <c r="E47" i="1" s="1"/>
  <c r="Q48" i="3"/>
  <c r="E48" i="1" s="1"/>
  <c r="Q49" i="3"/>
  <c r="E49" i="1" s="1"/>
  <c r="Q50" i="3"/>
  <c r="E50" i="1" s="1"/>
  <c r="Q51" i="3"/>
  <c r="E51" i="1" s="1"/>
  <c r="Q52" i="3"/>
  <c r="E52" i="1" s="1"/>
  <c r="Q53" i="3"/>
  <c r="E53" i="1" s="1"/>
  <c r="Q54" i="3"/>
  <c r="E54" i="1" s="1"/>
  <c r="Q55" i="3"/>
  <c r="E55" i="1" s="1"/>
  <c r="Q56" i="3"/>
  <c r="E56" i="1" s="1"/>
  <c r="Q57" i="3"/>
  <c r="E57" i="1" s="1"/>
  <c r="Q58" i="3"/>
  <c r="E58" i="1" s="1"/>
  <c r="Q59" i="3"/>
  <c r="E59" i="1" s="1"/>
  <c r="Q60" i="3"/>
  <c r="E60" i="1" s="1"/>
  <c r="Q61" i="3"/>
  <c r="E61" i="1" s="1"/>
  <c r="Q62" i="3"/>
  <c r="E62" i="1" s="1"/>
  <c r="Q63" i="3"/>
  <c r="E63" i="1" s="1"/>
  <c r="Q64" i="3"/>
  <c r="E64" i="1" s="1"/>
  <c r="Q65" i="3"/>
  <c r="E65" i="1" s="1"/>
  <c r="Q66" i="3"/>
  <c r="E66" i="1" s="1"/>
  <c r="Q67" i="3"/>
  <c r="E67" i="1" s="1"/>
  <c r="Q68" i="3"/>
  <c r="E68" i="1" s="1"/>
  <c r="Q69" i="3"/>
  <c r="E69" i="1" s="1"/>
  <c r="Q70" i="3"/>
  <c r="E70" i="1" s="1"/>
  <c r="Q71" i="3"/>
  <c r="E71" i="1" s="1"/>
  <c r="Q72" i="3"/>
  <c r="E72" i="1" s="1"/>
  <c r="Q73" i="3"/>
  <c r="E73" i="1" s="1"/>
  <c r="Q74" i="3"/>
  <c r="E74" i="1" s="1"/>
  <c r="Q75" i="3"/>
  <c r="E75" i="1" s="1"/>
  <c r="Q76" i="3"/>
  <c r="E76" i="1" s="1"/>
  <c r="Q77" i="3"/>
  <c r="E77" i="1" s="1"/>
  <c r="Q78" i="3"/>
  <c r="E78" i="1" s="1"/>
  <c r="Q79" i="3"/>
  <c r="E79" i="1" s="1"/>
  <c r="Q80" i="3"/>
  <c r="E80" i="1" s="1"/>
  <c r="Q81" i="3"/>
  <c r="E81" i="1" s="1"/>
  <c r="Q82" i="3"/>
  <c r="E82" i="1" s="1"/>
  <c r="Q83" i="3"/>
  <c r="E83" i="1" s="1"/>
  <c r="Q84" i="3"/>
  <c r="E84" i="1" s="1"/>
  <c r="Q85" i="3"/>
  <c r="E85" i="1" s="1"/>
  <c r="Q86" i="3"/>
  <c r="E86" i="1" s="1"/>
  <c r="Q87" i="3"/>
  <c r="E87" i="1" s="1"/>
  <c r="E88" i="1"/>
  <c r="Q89" i="3"/>
  <c r="E89" i="1" s="1"/>
  <c r="Q90" i="3"/>
  <c r="E90" i="1" s="1"/>
  <c r="Q91" i="3"/>
  <c r="E91" i="1" s="1"/>
  <c r="Q92" i="3"/>
  <c r="E92" i="1" s="1"/>
  <c r="Q93" i="3"/>
  <c r="E93" i="1" s="1"/>
  <c r="Q94" i="3"/>
  <c r="E94" i="1" s="1"/>
  <c r="Q95" i="3"/>
  <c r="E95" i="1" s="1"/>
  <c r="Q96" i="3"/>
  <c r="E96" i="1" s="1"/>
  <c r="Q97" i="3"/>
  <c r="E97" i="1" s="1"/>
  <c r="Q98" i="3"/>
  <c r="E98" i="1" s="1"/>
  <c r="Q99" i="3"/>
  <c r="E99" i="1" s="1"/>
  <c r="Q100" i="3"/>
  <c r="E100" i="1" s="1"/>
  <c r="Q101" i="3"/>
  <c r="E101" i="1" s="1"/>
  <c r="Q102" i="3"/>
  <c r="E102" i="1" s="1"/>
  <c r="Q103" i="3"/>
  <c r="E103" i="1" s="1"/>
  <c r="Q104" i="3"/>
  <c r="E104" i="1" s="1"/>
  <c r="Q105" i="3"/>
  <c r="E105" i="1" s="1"/>
  <c r="Q106" i="3"/>
  <c r="E106" i="1" s="1"/>
  <c r="Q107" i="3"/>
  <c r="E107" i="1" s="1"/>
  <c r="Q108" i="3"/>
  <c r="E108" i="1" s="1"/>
  <c r="Q111" i="3"/>
  <c r="E111" i="1" s="1"/>
  <c r="Q112" i="3"/>
  <c r="E112" i="1" s="1"/>
  <c r="Q113" i="3"/>
  <c r="E113" i="1" s="1"/>
  <c r="Q114" i="3"/>
  <c r="E114" i="1" s="1"/>
  <c r="Q115" i="3"/>
  <c r="E115" i="1" s="1"/>
  <c r="Q116" i="3"/>
  <c r="E116" i="1" s="1"/>
  <c r="Q117" i="3"/>
  <c r="E117" i="1" s="1"/>
  <c r="Q118" i="3"/>
  <c r="E118" i="1" s="1"/>
  <c r="Q119" i="3"/>
  <c r="E119" i="1" s="1"/>
  <c r="Q120" i="3"/>
  <c r="E120" i="1" s="1"/>
  <c r="Q121" i="3"/>
  <c r="E121" i="1" s="1"/>
  <c r="Q122" i="3"/>
  <c r="E122" i="1" s="1"/>
  <c r="Q123" i="3"/>
  <c r="E123" i="1" s="1"/>
  <c r="Q124" i="3"/>
  <c r="E124" i="1" s="1"/>
  <c r="Q125" i="3"/>
  <c r="E125" i="1" s="1"/>
  <c r="Q126" i="3"/>
  <c r="E126" i="1" s="1"/>
  <c r="Q127" i="3"/>
  <c r="E127" i="1" s="1"/>
  <c r="Q128" i="3"/>
  <c r="E128" i="1" s="1"/>
  <c r="Q129" i="3"/>
  <c r="E129" i="1" s="1"/>
  <c r="Q130" i="3"/>
  <c r="E130" i="1" s="1"/>
  <c r="Q131" i="3"/>
  <c r="E131" i="1" s="1"/>
  <c r="Q132" i="3"/>
  <c r="E132" i="1" s="1"/>
  <c r="Q133" i="3"/>
  <c r="E133" i="1" s="1"/>
  <c r="Q134" i="3"/>
  <c r="E134" i="1" s="1"/>
  <c r="Q135" i="3"/>
  <c r="E135" i="1" s="1"/>
  <c r="Q136" i="3"/>
  <c r="E136" i="1" s="1"/>
  <c r="Q137" i="3"/>
  <c r="E137" i="1" s="1"/>
  <c r="Q138" i="3"/>
  <c r="E138" i="1" s="1"/>
  <c r="Q139" i="3"/>
  <c r="E139" i="1" s="1"/>
  <c r="Q140" i="3"/>
  <c r="E140" i="1" s="1"/>
  <c r="Q141" i="3"/>
  <c r="E141" i="1" s="1"/>
  <c r="Q142" i="3"/>
  <c r="E142" i="1" s="1"/>
  <c r="Q143" i="3"/>
  <c r="E143" i="1" s="1"/>
  <c r="Q144" i="3"/>
  <c r="E144" i="1" s="1"/>
  <c r="Q145" i="3"/>
  <c r="E145" i="1" s="1"/>
  <c r="Q146" i="3"/>
  <c r="E146" i="1" s="1"/>
  <c r="Q147" i="3"/>
  <c r="E147" i="1" s="1"/>
  <c r="Q148" i="3"/>
  <c r="E148" i="1" s="1"/>
  <c r="Q149" i="3"/>
  <c r="E149" i="1" s="1"/>
  <c r="Q150" i="3"/>
  <c r="E150" i="1" s="1"/>
  <c r="Q151" i="3"/>
  <c r="E151" i="1" s="1"/>
  <c r="Q152" i="3"/>
  <c r="E152" i="1" s="1"/>
  <c r="Q153" i="3"/>
  <c r="E153" i="1" s="1"/>
  <c r="E155" i="1"/>
  <c r="Q156" i="3"/>
  <c r="E156" i="1" s="1"/>
  <c r="Q157" i="3"/>
  <c r="E157" i="1" s="1"/>
  <c r="Q158" i="3"/>
  <c r="E158" i="1" s="1"/>
  <c r="Q159" i="3"/>
  <c r="E159" i="1" s="1"/>
  <c r="Q160" i="3"/>
  <c r="E160" i="1" s="1"/>
  <c r="Q161" i="3"/>
  <c r="E161" i="1" s="1"/>
  <c r="Q162" i="3"/>
  <c r="E162" i="1" s="1"/>
  <c r="Q163" i="3"/>
  <c r="E163" i="1" s="1"/>
  <c r="Q164" i="3"/>
  <c r="E164" i="1" s="1"/>
  <c r="Q165" i="3"/>
  <c r="E165" i="1" s="1"/>
  <c r="Q166" i="3"/>
  <c r="E166" i="1" s="1"/>
  <c r="Q167" i="3"/>
  <c r="E167" i="1" s="1"/>
  <c r="Q168" i="3"/>
  <c r="E168" i="1" s="1"/>
  <c r="Q169" i="3"/>
  <c r="E169" i="1" s="1"/>
  <c r="Q170" i="3"/>
  <c r="E170" i="1" s="1"/>
  <c r="Q172" i="3"/>
  <c r="E172" i="1" s="1"/>
  <c r="Q173" i="3"/>
  <c r="E173" i="1" s="1"/>
  <c r="Q174" i="3"/>
  <c r="E174" i="1" s="1"/>
  <c r="Q175" i="3"/>
  <c r="E175" i="1" s="1"/>
  <c r="Q176" i="3"/>
  <c r="E176" i="1" s="1"/>
  <c r="Q177" i="3"/>
  <c r="E177" i="1" s="1"/>
  <c r="Q178" i="3"/>
  <c r="E178" i="1" s="1"/>
  <c r="Q179" i="3"/>
  <c r="E179" i="1" s="1"/>
  <c r="Q180" i="3"/>
  <c r="E180" i="1" s="1"/>
  <c r="Q181" i="3"/>
  <c r="E181" i="1" s="1"/>
  <c r="Q182" i="3"/>
  <c r="E182" i="1" s="1"/>
  <c r="Q183" i="3"/>
  <c r="E183" i="1" s="1"/>
  <c r="E193" i="1"/>
  <c r="E194" i="1"/>
  <c r="E195" i="1"/>
  <c r="Q196" i="3"/>
  <c r="E196" i="1" s="1"/>
  <c r="Q197" i="3"/>
  <c r="E197" i="1" s="1"/>
  <c r="Q198" i="3"/>
  <c r="E198" i="1" s="1"/>
  <c r="Q199" i="3"/>
  <c r="E199" i="1" s="1"/>
  <c r="Q200" i="3"/>
  <c r="E200" i="1" s="1"/>
  <c r="Q201" i="3"/>
  <c r="E201" i="1" s="1"/>
  <c r="Q202" i="3"/>
  <c r="E202" i="1" s="1"/>
  <c r="Q203" i="3"/>
  <c r="E203" i="1" s="1"/>
  <c r="Q204" i="3"/>
  <c r="E204" i="1" s="1"/>
  <c r="Q205" i="3"/>
  <c r="E205" i="1" s="1"/>
  <c r="Q206" i="3"/>
  <c r="E206" i="1" s="1"/>
  <c r="Q207" i="3"/>
  <c r="E207" i="1" s="1"/>
  <c r="Q208" i="3"/>
  <c r="E208" i="1" s="1"/>
  <c r="Q209" i="3"/>
  <c r="E209" i="1" s="1"/>
  <c r="Q210" i="3"/>
  <c r="E210" i="1" s="1"/>
  <c r="Q211" i="3"/>
  <c r="E211" i="1" s="1"/>
  <c r="Q212" i="3"/>
  <c r="E212" i="1" s="1"/>
  <c r="Q213" i="3"/>
  <c r="E213" i="1" s="1"/>
  <c r="Q214" i="3"/>
  <c r="E214" i="1" s="1"/>
  <c r="Q215" i="3"/>
  <c r="E215" i="1" s="1"/>
  <c r="Q216" i="3"/>
  <c r="E216" i="1" s="1"/>
  <c r="Q217" i="3"/>
  <c r="E217" i="1" s="1"/>
  <c r="Q218" i="3"/>
  <c r="E218" i="1" s="1"/>
  <c r="Q219" i="3"/>
  <c r="E219" i="1" s="1"/>
  <c r="Q220" i="3"/>
  <c r="E220" i="1" s="1"/>
  <c r="Q221" i="3"/>
  <c r="E221" i="1" s="1"/>
  <c r="Q222" i="3"/>
  <c r="E222" i="1" s="1"/>
  <c r="Q223" i="3"/>
  <c r="E223" i="1" s="1"/>
  <c r="Q224" i="3"/>
  <c r="E224" i="1" s="1"/>
  <c r="Q225" i="3"/>
  <c r="E225" i="1" s="1"/>
  <c r="Q226" i="3"/>
  <c r="E226" i="1" s="1"/>
  <c r="Q227" i="3"/>
  <c r="E227" i="1" s="1"/>
  <c r="Q228" i="3"/>
  <c r="E228" i="1" s="1"/>
  <c r="Q229" i="3"/>
  <c r="E229" i="1" s="1"/>
  <c r="Q230" i="3"/>
  <c r="E230" i="1" s="1"/>
  <c r="Q231" i="3"/>
  <c r="E231" i="1" s="1"/>
  <c r="Q232" i="3"/>
  <c r="E232" i="1" s="1"/>
  <c r="Q233" i="3"/>
  <c r="E233" i="1" s="1"/>
  <c r="Q234" i="3"/>
  <c r="E234" i="1" s="1"/>
  <c r="Q235" i="3"/>
  <c r="E235" i="1" s="1"/>
  <c r="Q236" i="3"/>
  <c r="E236" i="1" s="1"/>
  <c r="Q237" i="3"/>
  <c r="E237" i="1" s="1"/>
  <c r="B23" i="1"/>
  <c r="B24" i="1"/>
  <c r="B25" i="1"/>
  <c r="B26" i="1"/>
  <c r="B27" i="1"/>
  <c r="B2" i="1"/>
  <c r="E2" i="1" l="1"/>
  <c r="F2" i="1"/>
  <c r="B16" i="1"/>
  <c r="G2" i="1" l="1"/>
</calcChain>
</file>

<file path=xl/comments1.xml><?xml version="1.0" encoding="utf-8"?>
<comments xmlns="http://schemas.openxmlformats.org/spreadsheetml/2006/main">
  <authors>
    <author>om</author>
  </authors>
  <commentList>
    <comment ref="P16" authorId="0" shapeId="0">
      <text>
        <r>
          <rPr>
            <b/>
            <sz val="9"/>
            <color indexed="81"/>
            <rFont val="Tahoma"/>
            <family val="2"/>
          </rPr>
          <t>om:</t>
        </r>
        <r>
          <rPr>
            <sz val="9"/>
            <color indexed="81"/>
            <rFont val="Tahoma"/>
            <family val="2"/>
          </rPr>
          <t xml:space="preserve">
MAT</t>
        </r>
      </text>
    </comment>
  </commentList>
</comments>
</file>

<file path=xl/sharedStrings.xml><?xml version="1.0" encoding="utf-8"?>
<sst xmlns="http://schemas.openxmlformats.org/spreadsheetml/2006/main" count="1837" uniqueCount="406">
  <si>
    <t>S.NO.</t>
  </si>
  <si>
    <t>DESCRIPTION</t>
  </si>
  <si>
    <t>UNIT</t>
  </si>
  <si>
    <t>OPENING</t>
  </si>
  <si>
    <t>RECEIPT</t>
  </si>
  <si>
    <t>ISSUE</t>
  </si>
  <si>
    <t>BALANCE</t>
  </si>
  <si>
    <t>PCS</t>
  </si>
  <si>
    <t>TOTAL</t>
  </si>
  <si>
    <t>CAPACITOR 6 MFD EP</t>
  </si>
  <si>
    <t>CAPACITOR 4 MFD EP</t>
  </si>
  <si>
    <t>DIAL GAUGE BIG</t>
  </si>
  <si>
    <t>DIAL GAUGE SMALL</t>
  </si>
  <si>
    <t>LIGHTER</t>
  </si>
  <si>
    <t>VERNIER CALIPER</t>
  </si>
  <si>
    <t>DIAL GAUGE MITUTOYO</t>
  </si>
  <si>
    <t>MICRO METER SMALL</t>
  </si>
  <si>
    <t>MICRO METER BIG</t>
  </si>
  <si>
    <t>SPRAY GUN</t>
  </si>
  <si>
    <t>INCH TAPE</t>
  </si>
  <si>
    <t>2.7.25</t>
  </si>
  <si>
    <t>3.7.25</t>
  </si>
  <si>
    <t>4.7.25</t>
  </si>
  <si>
    <t>BEARING F209</t>
  </si>
  <si>
    <t>BRACKET 209</t>
  </si>
  <si>
    <t>GREASE LGHP 2R/1</t>
  </si>
  <si>
    <t>ANABOND 666</t>
  </si>
  <si>
    <t>TAFLON TAPE</t>
  </si>
  <si>
    <t>BEARING LMK 25LUU</t>
  </si>
  <si>
    <t>BEARING LMK 25UU</t>
  </si>
  <si>
    <t>BEARING LMEK 20UU</t>
  </si>
  <si>
    <t>TAPER SLEEVE H 315</t>
  </si>
  <si>
    <t>BEARING 2211</t>
  </si>
  <si>
    <t>BEARING 6310</t>
  </si>
  <si>
    <t>BEARING 6311</t>
  </si>
  <si>
    <t>BEARING P212</t>
  </si>
  <si>
    <t>BEARING FC211</t>
  </si>
  <si>
    <t>BEARING NU218</t>
  </si>
  <si>
    <t>BEARING 2215K</t>
  </si>
  <si>
    <t>BEARING 22215</t>
  </si>
  <si>
    <t>BEARING 22216</t>
  </si>
  <si>
    <t>BEARING 22316</t>
  </si>
  <si>
    <t>BEARING 22224</t>
  </si>
  <si>
    <t>WELDING GOGGLE</t>
  </si>
  <si>
    <t>M SEAL</t>
  </si>
  <si>
    <t>KGS</t>
  </si>
  <si>
    <t>BEARING 6211</t>
  </si>
  <si>
    <t>BEARING 6210</t>
  </si>
  <si>
    <t>BEARING 3207</t>
  </si>
  <si>
    <t>BEARING 6304</t>
  </si>
  <si>
    <t>BEARING 6007</t>
  </si>
  <si>
    <t>BEARING 6306</t>
  </si>
  <si>
    <t>BEARING 6305</t>
  </si>
  <si>
    <t>BEARING 6209</t>
  </si>
  <si>
    <t>BEARING 6012</t>
  </si>
  <si>
    <t>BEARING 6814</t>
  </si>
  <si>
    <t>BEARING 6818</t>
  </si>
  <si>
    <t>BEARING 6308</t>
  </si>
  <si>
    <t>BEARING 6309</t>
  </si>
  <si>
    <t>BEARING 6208</t>
  </si>
  <si>
    <t>BEARING 51204</t>
  </si>
  <si>
    <t>BEARING 6006</t>
  </si>
  <si>
    <t>BEARING 6206</t>
  </si>
  <si>
    <t>BEARING 6205</t>
  </si>
  <si>
    <t>BEARING 6204</t>
  </si>
  <si>
    <t>BEARING 6005</t>
  </si>
  <si>
    <t>BEARING 6004</t>
  </si>
  <si>
    <t>BEARING 6202</t>
  </si>
  <si>
    <t>BEARING 6001</t>
  </si>
  <si>
    <t>BEARING 6302</t>
  </si>
  <si>
    <t>BEARING 6000</t>
  </si>
  <si>
    <t>BEARING 629</t>
  </si>
  <si>
    <t>BEARING 628</t>
  </si>
  <si>
    <t>BEARING 608</t>
  </si>
  <si>
    <t>BEARING UC 211</t>
  </si>
  <si>
    <t>BEARING UC 212</t>
  </si>
  <si>
    <t>BEARING UC 210</t>
  </si>
  <si>
    <t>BEARING UC 209</t>
  </si>
  <si>
    <t>BEARING UC 208</t>
  </si>
  <si>
    <t>BEARING UC 207</t>
  </si>
  <si>
    <t>BEARING UC 206</t>
  </si>
  <si>
    <t>BEARING UCP 206</t>
  </si>
  <si>
    <t>BEARING UCFL 205</t>
  </si>
  <si>
    <t>BEARING UFCL 204</t>
  </si>
  <si>
    <t>BEARING UC 204</t>
  </si>
  <si>
    <t>BEARING T BRACKET 206</t>
  </si>
  <si>
    <t>CUTTING  WHEEL 14"</t>
  </si>
  <si>
    <t>CUTTING  WHEEL 4"</t>
  </si>
  <si>
    <t>BUFFING WHEEL 4"</t>
  </si>
  <si>
    <t>CUTTING  WHEEL 5"</t>
  </si>
  <si>
    <t>GRINDING  WHEEL 5"</t>
  </si>
  <si>
    <t>GRINDING  WHEEL 4"</t>
  </si>
  <si>
    <t>BEARING F212</t>
  </si>
  <si>
    <t>BUTTER FLY VALVE 65MM</t>
  </si>
  <si>
    <t>OIL FILTER 1.5"</t>
  </si>
  <si>
    <t>PLASTIC TAP</t>
  </si>
  <si>
    <t>PNEUMATIC CYLINDER 80X160</t>
  </si>
  <si>
    <t>PNEUMATIC CYLINDER 63X50</t>
  </si>
  <si>
    <t>AIR GUN</t>
  </si>
  <si>
    <t>WELDING ROD MS</t>
  </si>
  <si>
    <t>PU PIPE FOR AIR GUN</t>
  </si>
  <si>
    <t>FRL 1/8"</t>
  </si>
  <si>
    <t>FRL 1/2"</t>
  </si>
  <si>
    <t>AIR REGULATOR 1/2"</t>
  </si>
  <si>
    <t>CHAIN 12.70X7.75X8.51</t>
  </si>
  <si>
    <t>CHAIN 19.05X12.58X11.91</t>
  </si>
  <si>
    <t>CHAIN 19.05X11.68X12.07</t>
  </si>
  <si>
    <t>AIR FILTER 1/4"</t>
  </si>
  <si>
    <t>BRASS HYDRAULIC NIPPLE 1/2"</t>
  </si>
  <si>
    <t>BRASS BUSH 1/2" X 3/8"</t>
  </si>
  <si>
    <t>GI HYDRAULIC NIPPLE 3/4"</t>
  </si>
  <si>
    <t>SS HEX NIPPLE 1/2"</t>
  </si>
  <si>
    <t>SS HEX NIPPLE 3/4"</t>
  </si>
  <si>
    <t>BRASS FITTING 1/2" X 12</t>
  </si>
  <si>
    <t>BRASS FITTING 1/2" X 10</t>
  </si>
  <si>
    <t>BRASS FITTING 1/4" X 10</t>
  </si>
  <si>
    <t>PU CONNECTOR 1/4" X 12</t>
  </si>
  <si>
    <t>PU CONNECTOR 1/4" X 10</t>
  </si>
  <si>
    <t>PU CONNECTOR 3/8" X 10</t>
  </si>
  <si>
    <t>PU CONNECTOR 1/4" X 8</t>
  </si>
  <si>
    <t>PU CONNECTOR 3/8" X 8</t>
  </si>
  <si>
    <t>PU CONNECTOR 1/8" X 8</t>
  </si>
  <si>
    <t>PU CONNECTOR 3/8" X 16</t>
  </si>
  <si>
    <t>PU CONNECTOR 1/2" X 12</t>
  </si>
  <si>
    <t>PU CONNECTOR 1/2" X 10</t>
  </si>
  <si>
    <t>G.I.HYDRAULIC NIPPLE 1/4"</t>
  </si>
  <si>
    <t>G.I.HYDRAULIC NIPPLE 1/4" X 3/8"</t>
  </si>
  <si>
    <t>G.I.HYDRAULIC NIPPLE 1/2" X 3/8"</t>
  </si>
  <si>
    <t>G.I.HEX NIPPLE 1/4"</t>
  </si>
  <si>
    <t>TEE 12MM</t>
  </si>
  <si>
    <t>TEE 8MM</t>
  </si>
  <si>
    <t>TEE 6MM</t>
  </si>
  <si>
    <t>Y 8MM</t>
  </si>
  <si>
    <t>ELBOW 1/2 X 6</t>
  </si>
  <si>
    <t>ELBOW 1/2 X 8</t>
  </si>
  <si>
    <t>ELBOW 1/4 X 8</t>
  </si>
  <si>
    <t>ELBOW 1/4 X 10</t>
  </si>
  <si>
    <t>TEE 1/2X10</t>
  </si>
  <si>
    <t>JOINTER 12MM</t>
  </si>
  <si>
    <t>JOINTER 10MM</t>
  </si>
  <si>
    <t>JOINTER 8MM</t>
  </si>
  <si>
    <t>JOINTER 6MM</t>
  </si>
  <si>
    <t>JOINTER 10X8</t>
  </si>
  <si>
    <t>JOINTER 8X6</t>
  </si>
  <si>
    <t>JOINTER 10X6</t>
  </si>
  <si>
    <t>FLOW CONTROL VALVE 1/2 X 12</t>
  </si>
  <si>
    <t>FLOW CONTROL VALVE 1/2 X 10</t>
  </si>
  <si>
    <t>FLOW CONTROL VALVE  3/8 X 12</t>
  </si>
  <si>
    <t>FLOW CONTROL VALVE 3/8 X 10</t>
  </si>
  <si>
    <t>FLOW CONTROL VALVE 1/4 X 10</t>
  </si>
  <si>
    <t>KG</t>
  </si>
  <si>
    <t>PKT</t>
  </si>
  <si>
    <t>MTR</t>
  </si>
  <si>
    <t>ROTARY VALVE 1"</t>
  </si>
  <si>
    <t>ROTARY VALVE 1.5"</t>
  </si>
  <si>
    <t>ROTARY VALVE 3/4"</t>
  </si>
  <si>
    <t>ROTARY VALVE 1/2"</t>
  </si>
  <si>
    <t>ELBOW 1/2 X 12</t>
  </si>
  <si>
    <t>ELBOW 3/8 X 12</t>
  </si>
  <si>
    <t>ELBOW 3/8 X 10</t>
  </si>
  <si>
    <t>ELBOW 3/8 X 8</t>
  </si>
  <si>
    <t>ELBOW 1/4 X 6</t>
  </si>
  <si>
    <t>ELBOW 1/4 X 12</t>
  </si>
  <si>
    <t>Y 10MM</t>
  </si>
  <si>
    <t>BALL VALVE 1.25</t>
  </si>
  <si>
    <t>BALL VALVE 2"</t>
  </si>
  <si>
    <t>BALL VALVE 1.5"</t>
  </si>
  <si>
    <t>BALL VALVE 1"</t>
  </si>
  <si>
    <t>BALL VALVE 3/4"</t>
  </si>
  <si>
    <t>15.7.25</t>
  </si>
  <si>
    <t>18/7/25</t>
  </si>
  <si>
    <t>AIR FILTER PINK 2120161530</t>
  </si>
  <si>
    <t>SELF DRILLING SCREW 12 X 35</t>
  </si>
  <si>
    <t>TAPE DISPENSOR</t>
  </si>
  <si>
    <t>BRASS BALL VALVE 1/2"</t>
  </si>
  <si>
    <t>OVEN PHOTO SENSOR UVI  18210060</t>
  </si>
  <si>
    <t>CARD CONNECTOR</t>
  </si>
  <si>
    <t>POTENTIO METER 100K</t>
  </si>
  <si>
    <t>POTENTIO METER 10K</t>
  </si>
  <si>
    <t>POTENTIO METER 2K</t>
  </si>
  <si>
    <t>HEAT GUN</t>
  </si>
  <si>
    <t>WINDER CONTROLLER</t>
  </si>
  <si>
    <t>GLASS FUSE BASE 15A</t>
  </si>
  <si>
    <t>DIGITAL TEMP.METER</t>
  </si>
  <si>
    <t>CABLE TIE 250MM</t>
  </si>
  <si>
    <t>CABLE TIE 300MM</t>
  </si>
  <si>
    <t>CABLE TIE 200MM</t>
  </si>
  <si>
    <t>GLASS FUSE 32A</t>
  </si>
  <si>
    <t>GI HYDRAULIC NIPPLE 1.5"X2"</t>
  </si>
  <si>
    <t>GI HYDRAULIC NIPPLE D TYPE 3/4"</t>
  </si>
  <si>
    <t>GI HYDRAULIC NIPPLE C TYPE 3/4"</t>
  </si>
  <si>
    <t>GI HYDRAULIC NIPPLE C TYPE 1" X 1/2"</t>
  </si>
  <si>
    <t>GI HYDRAULIC NIPPLE C TYPE 1/2"</t>
  </si>
  <si>
    <t>GI HYDRAULIC NIPPLE C TYPE 1"</t>
  </si>
  <si>
    <t>GI HYDRAULIC NIPPLE C TYPE 1" X 3/4"</t>
  </si>
  <si>
    <t>GI HYDRAULIC NIPPLE C TYPE 3/4" X 1/2"</t>
  </si>
  <si>
    <t>SS HYDRAULIC NIPPLE D TYPE 3/8"</t>
  </si>
  <si>
    <t>GLASS FUSE 6A</t>
  </si>
  <si>
    <t>GLASS FUSE 15A</t>
  </si>
  <si>
    <t>GLASS FUSE 35A</t>
  </si>
  <si>
    <t>GLASS FUSE 5A</t>
  </si>
  <si>
    <t>BOTTLE FUSE 10A</t>
  </si>
  <si>
    <t>BOTTLE FUSE 4A</t>
  </si>
  <si>
    <t>TPR FUSE 55A</t>
  </si>
  <si>
    <t>TPR FUSE 75A</t>
  </si>
  <si>
    <t>TPR FUSE 35A</t>
  </si>
  <si>
    <t>TPR FUSE 50A</t>
  </si>
  <si>
    <t>TOGGLE SWITCH 15A</t>
  </si>
  <si>
    <t>PANEL INDICATOR</t>
  </si>
  <si>
    <t>NO SWITCH GREEN</t>
  </si>
  <si>
    <t>NC SWITCH RED</t>
  </si>
  <si>
    <t>SOLENOID VALVE AIR</t>
  </si>
  <si>
    <t>SOLENOID COIL AIR</t>
  </si>
  <si>
    <t>ROTARY ENCODER ENC 1-1-T-24</t>
  </si>
  <si>
    <t>SELECTOR SWITCH</t>
  </si>
  <si>
    <t>PUSH BUTTON</t>
  </si>
  <si>
    <t>BUZZER 72 X 72</t>
  </si>
  <si>
    <t>BUZZER 92 X 92</t>
  </si>
  <si>
    <t>GLASS TAPE</t>
  </si>
  <si>
    <t>TIMER ON DELAY</t>
  </si>
  <si>
    <t>3 PIN TOP 6A</t>
  </si>
  <si>
    <t>SOCKET 6A</t>
  </si>
  <si>
    <t>SWITCH 6A</t>
  </si>
  <si>
    <t>BED SWITCH 6A</t>
  </si>
  <si>
    <t>SOCKET 16A</t>
  </si>
  <si>
    <t>SWITCH 16A</t>
  </si>
  <si>
    <t>3 PIN TOP 16A</t>
  </si>
  <si>
    <t>POTENTIO METER 5K</t>
  </si>
  <si>
    <t>POTENTIO METER 250K</t>
  </si>
  <si>
    <t>POTENTIO METER B202K</t>
  </si>
  <si>
    <t>UPS FAN</t>
  </si>
  <si>
    <t>CLAMP METER</t>
  </si>
  <si>
    <t>MCB 32AMP 4P</t>
  </si>
  <si>
    <t>MCB 63AMP 4P</t>
  </si>
  <si>
    <t>MCB 63AMP 3P</t>
  </si>
  <si>
    <t>MCB 16AMP 4P</t>
  </si>
  <si>
    <t>MCB 20AMP 3P</t>
  </si>
  <si>
    <t>MCB 32AMP 2P</t>
  </si>
  <si>
    <t>MCB 10AMP 2P</t>
  </si>
  <si>
    <t>MCB 6AMP 2P</t>
  </si>
  <si>
    <t>MCB 10AMP 1P</t>
  </si>
  <si>
    <t>MCB 32AMP 1P</t>
  </si>
  <si>
    <t>POTENTIO METER 1K</t>
  </si>
  <si>
    <t>HALOZEN 500W</t>
  </si>
  <si>
    <t>HALOZEN STAND</t>
  </si>
  <si>
    <t>PANEL RELAY 24V</t>
  </si>
  <si>
    <t>SENSOR BODY</t>
  </si>
  <si>
    <t>METAL SENSOR PRT18 8 DO</t>
  </si>
  <si>
    <t>METAL SENSOR NPN NO</t>
  </si>
  <si>
    <t>METAL SENSOR PNP NO</t>
  </si>
  <si>
    <t>METAL SENSOR CKDP 18</t>
  </si>
  <si>
    <t>RELAY BASE 14PIN</t>
  </si>
  <si>
    <t>RELAY 14PIN 220V</t>
  </si>
  <si>
    <t>RELAY BASE 11PIN</t>
  </si>
  <si>
    <t>RELAY BASE 8PIN</t>
  </si>
  <si>
    <t>RELAY 11PIN</t>
  </si>
  <si>
    <t>RELAY 14PIN</t>
  </si>
  <si>
    <t>CONTACTOR 40A/240V</t>
  </si>
  <si>
    <t>CONTACTOR 12A</t>
  </si>
  <si>
    <t>CONTACTOR 9A</t>
  </si>
  <si>
    <t>CONTACTOR 18A</t>
  </si>
  <si>
    <t>CONTACTOR 32A</t>
  </si>
  <si>
    <t>CONTACTOR 25A</t>
  </si>
  <si>
    <t>COUNTER METER CT6M-1P4</t>
  </si>
  <si>
    <t>TEMP.CONTROLLER TK4M-14RN</t>
  </si>
  <si>
    <t>PHOTO SENSOR BX5M-MFR</t>
  </si>
  <si>
    <t>TIMER AT8N</t>
  </si>
  <si>
    <t>PHASE SEQUENCER S1VMR7</t>
  </si>
  <si>
    <t>STAR DELTA TIMER</t>
  </si>
  <si>
    <t>CT -  MP21SS005S4</t>
  </si>
  <si>
    <t>OVER LAOD RELAY 1.6-2.5</t>
  </si>
  <si>
    <t>OVER LAOD RELAY 24.5-36</t>
  </si>
  <si>
    <t>OVER LAOD RELAY 6-10</t>
  </si>
  <si>
    <t>OVER LAOD RELAY 12-18</t>
  </si>
  <si>
    <t>OVER LAOD RELAY 7-10</t>
  </si>
  <si>
    <t>CONTROL CONTACTOR 4A</t>
  </si>
  <si>
    <t>POWER SUPPLY 24V</t>
  </si>
  <si>
    <t>CT - DOCR-1S-1E</t>
  </si>
  <si>
    <t>MPCB 6-10</t>
  </si>
  <si>
    <t>TEMP.CONTROLLER UTC 122</t>
  </si>
  <si>
    <t>MCCB 30AMP 3P</t>
  </si>
  <si>
    <t>MCCB 10AMP 3P</t>
  </si>
  <si>
    <t>CHANGE OVER 16A</t>
  </si>
  <si>
    <t>TIMER 55ES-P8-230</t>
  </si>
  <si>
    <t>DVA - MT4Y-AV-4N</t>
  </si>
  <si>
    <t>AUXILARY CONTACTOR MX-A-1 22E</t>
  </si>
  <si>
    <t>FOOT SWITCH</t>
  </si>
  <si>
    <t>DRIVE 5HP</t>
  </si>
  <si>
    <t>PANEL FAN 8"</t>
  </si>
  <si>
    <t>PANEL FAN 6"</t>
  </si>
  <si>
    <t>PANEL FAN 4"</t>
  </si>
  <si>
    <t>DRIVE FAN</t>
  </si>
  <si>
    <t>THERMOCOUPLE 3MTR</t>
  </si>
  <si>
    <t>THERMOCOUPLE 5MTR</t>
  </si>
  <si>
    <t>SENSOR ZERO WSITCH</t>
  </si>
  <si>
    <t>PANEL LOCK</t>
  </si>
  <si>
    <t>CAPACITOR 12MFD</t>
  </si>
  <si>
    <t>CAPACITOR 2.5MFD</t>
  </si>
  <si>
    <t>CAPACITOR 3.25MFD</t>
  </si>
  <si>
    <t>TUBE LIGHT DRIVER</t>
  </si>
  <si>
    <t>ALU.THIMBLE RING TYPE 70MM</t>
  </si>
  <si>
    <t>ALU.THIMBLE RING TYPE 95MM</t>
  </si>
  <si>
    <t>ALU.THIMBLE RING TYPE 400MM</t>
  </si>
  <si>
    <t>ALU.THIMBLE RING TYPE 50MM</t>
  </si>
  <si>
    <t>ALU.THIMBLE RING TYPE 300MM</t>
  </si>
  <si>
    <t>ALU.THIMBLE RING TYPE 35MM</t>
  </si>
  <si>
    <t>ALU.THIMBLE RING TYPE 120MM</t>
  </si>
  <si>
    <t>ALU.THIMBLE RING TYPE 185MM</t>
  </si>
  <si>
    <t>ALU.THIMBLE RING TYPE 25MM</t>
  </si>
  <si>
    <t>COPPER THIMBLE RING TYPE 95MM</t>
  </si>
  <si>
    <t>COPPER THIMBLE RING TYPE 185MM</t>
  </si>
  <si>
    <t>COPPER THIMBLE RING TYPE 300MM</t>
  </si>
  <si>
    <t>COPPER THIMBLE RING TYPE 120MM</t>
  </si>
  <si>
    <t>COPPER THIMBLE RING TYPE 70MM</t>
  </si>
  <si>
    <t>COPPER THIMBLE RING TYPE 25MM</t>
  </si>
  <si>
    <t>COPPER THIMBLE RING TYPE 35MM</t>
  </si>
  <si>
    <t>PIPE THIMBLE 1.5MM</t>
  </si>
  <si>
    <t>PIPE THIMBLE 5MM</t>
  </si>
  <si>
    <t>RING TYPE THIMBLE 16MM</t>
  </si>
  <si>
    <t>COPPER THIMBLE 4 - 6 U TYPE</t>
  </si>
  <si>
    <t>COPPER THIMBLE 4 - 6 RING TYPE</t>
  </si>
  <si>
    <t>COPPER THIMBLE RING TYPE 2.5MM</t>
  </si>
  <si>
    <t>COPPER THIMBLE RING TYPE 16MM</t>
  </si>
  <si>
    <t>CONTACTOR 80AMP/220V</t>
  </si>
  <si>
    <t>CAPACITOR 150/200 MFD</t>
  </si>
  <si>
    <t>SOLENOID VALVE WATER 1/2"</t>
  </si>
  <si>
    <t>SOLENOID VALVE WATER 3/4"</t>
  </si>
  <si>
    <t xml:space="preserve">SOLENOID COIL WATER </t>
  </si>
  <si>
    <t>19.07.25</t>
  </si>
  <si>
    <t>21.07.25</t>
  </si>
  <si>
    <t>BEARING S 210</t>
  </si>
  <si>
    <t>23.07.25</t>
  </si>
  <si>
    <t>TEMP.CONTROLLER DX 9</t>
  </si>
  <si>
    <t>WINDER CARD</t>
  </si>
  <si>
    <t>HEATER MALE FEMALE CONNECTOR</t>
  </si>
  <si>
    <t>MEGAR METER EARTHING</t>
  </si>
  <si>
    <t>POWER FACTOR CAPACITOR 25KVA</t>
  </si>
  <si>
    <t>POWER FACTOR CAPACITOR 10KVA</t>
  </si>
  <si>
    <t>SOLENOID COIL 14837A</t>
  </si>
  <si>
    <t>SMOKE SENSOR</t>
  </si>
  <si>
    <t>TPR 40A</t>
  </si>
  <si>
    <t>AIR BLOWER</t>
  </si>
  <si>
    <t>MCB BOX 8 WAY</t>
  </si>
  <si>
    <t>MCB BOX 10 WAY</t>
  </si>
  <si>
    <t>FUSE BASE 32A</t>
  </si>
  <si>
    <t>WIRE CONNECTOR</t>
  </si>
  <si>
    <t>INDICATOR  BLUE</t>
  </si>
  <si>
    <t>INDICATOR  YELLOW</t>
  </si>
  <si>
    <t>INDICATOR RED</t>
  </si>
  <si>
    <t>3 PIN TOP FIRE PROOF</t>
  </si>
  <si>
    <t>CARBON BRUSH</t>
  </si>
  <si>
    <t>RO FILTER</t>
  </si>
  <si>
    <t>RO ADAPTER 24V</t>
  </si>
  <si>
    <t>RO MOTOR</t>
  </si>
  <si>
    <t>GUN HEATER</t>
  </si>
  <si>
    <t>DIE ROD HEATER 700W</t>
  </si>
  <si>
    <t>DIE ROD HEATER 400W</t>
  </si>
  <si>
    <t>DIE ROD HEATER 800W</t>
  </si>
  <si>
    <t>DIE ROD HEATER 600W</t>
  </si>
  <si>
    <t>CERAMIC HEATER</t>
  </si>
  <si>
    <t>DRIVE 4KW 5.5HP (VFD)</t>
  </si>
  <si>
    <t>LIMIT SWITCH</t>
  </si>
  <si>
    <t>THERMOCOUPLE K TYPE</t>
  </si>
  <si>
    <t>THERMOCOUPLE P TYPE</t>
  </si>
  <si>
    <t>HINGE</t>
  </si>
  <si>
    <t>UPS FUSE 315A</t>
  </si>
  <si>
    <t>24.07.25</t>
  </si>
  <si>
    <t>PVC TAPE</t>
  </si>
  <si>
    <t>EXT.FAN MOTOR 18"</t>
  </si>
  <si>
    <t>PHOTO SENSOR SET</t>
  </si>
  <si>
    <t>PHOTO SENSOR GC-E3Z-D61</t>
  </si>
  <si>
    <t>PHOTO SENSOR GC-E3Z-D81</t>
  </si>
  <si>
    <t>OIL HEATER</t>
  </si>
  <si>
    <t>26.07.25</t>
  </si>
  <si>
    <t>CONTACTOR MNX 140 L&amp; T</t>
  </si>
  <si>
    <t>THIMBLE 150MM</t>
  </si>
  <si>
    <t xml:space="preserve">TIMER DT 60 S </t>
  </si>
  <si>
    <t>POWER FACTOR CONTACTOR MOC 50KVA</t>
  </si>
  <si>
    <t>POWER FACTOR CONTACTOR MOC 25KVA</t>
  </si>
  <si>
    <t>PHOTO SENSOR GTB-6 - N 1212</t>
  </si>
  <si>
    <t>POWER FACTOR CAPACITOR 25 KVAR</t>
  </si>
  <si>
    <t>POWER FACTOR CAPACITOR 20 KVAR</t>
  </si>
  <si>
    <t>U TYPE THIMBLE 1.5MM</t>
  </si>
  <si>
    <t>U TYPE THIMBLE 2.5MM</t>
  </si>
  <si>
    <t>COPPER CABLE 4MM 4CORE</t>
  </si>
  <si>
    <t>CABLE 1.5MM 2CORE</t>
  </si>
  <si>
    <t>FLOOD LIGHT 50W</t>
  </si>
  <si>
    <t>MALE FEMALE 2 PIN</t>
  </si>
  <si>
    <t>MPCB 9-14 SCHNIDER</t>
  </si>
  <si>
    <t>MS REDUCING BUSH 1" X 1/2"</t>
  </si>
  <si>
    <t>COPPER THIMBLERING TYPE 10MM</t>
  </si>
  <si>
    <t>BRASS HYDRAULIC NIPPLE 1/2" X 3/4"</t>
  </si>
  <si>
    <t>PHOTO SENSOR GTB-6 - P 1212</t>
  </si>
  <si>
    <t>8.8.25</t>
  </si>
  <si>
    <t>MCB 32AMP 3P</t>
  </si>
  <si>
    <t>BEARING 6203</t>
  </si>
  <si>
    <t>PIPE M/C GLASS HEATER 500W/230V D</t>
  </si>
  <si>
    <t>PIPE M/C GLASS HEATER 500W/230V P</t>
  </si>
  <si>
    <t>PIPE M/C GLASS HEATER 500W/230V GI</t>
  </si>
  <si>
    <t xml:space="preserve"> </t>
  </si>
  <si>
    <t>HYDRAULIC PUMP MATCHING COIL</t>
  </si>
  <si>
    <t>PCK</t>
  </si>
  <si>
    <t>MCB 6A 1P</t>
  </si>
  <si>
    <t>PU CONNECTOR M10 X M10</t>
  </si>
  <si>
    <t>PU TEE M10 X M10</t>
  </si>
  <si>
    <t>MPCB 4-6.3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</si>
</sst>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0" fillId="0" borderId="1" xfId="0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14" fontId="0" fillId="0" borderId="0" xfId="0" applyNumberFormat="1"/>
    <xf numFmtId="0" fontId="4" fillId="0" borderId="1" xfId="0" applyFont="1" applyBorder="1"/>
    <xf numFmtId="14" fontId="1" fillId="0" borderId="1" xfId="0" applyNumberFormat="1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0" fontId="5" fillId="0" borderId="1" xfId="0" applyFont="1" applyBorder="1"/>
    <xf numFmtId="14" fontId="1" fillId="0" borderId="3" xfId="0" applyNumberFormat="1" applyFont="1" applyFill="1" applyBorder="1"/>
    <xf numFmtId="0" fontId="1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76"/>
  <sheetViews>
    <sheetView tabSelected="1" zoomScaleNormal="100" workbookViewId="0">
      <pane xSplit="3" ySplit="1" topLeftCell="V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5.75" x14ac:dyDescent="0.25"/>
  <cols>
    <col min="1" max="1" width="6" style="1" bestFit="1" customWidth="1"/>
    <col min="2" max="2" width="47" style="3" customWidth="1"/>
    <col min="3" max="3" width="5.28515625" style="5" bestFit="1" customWidth="1"/>
    <col min="4" max="4" width="7.5703125" customWidth="1"/>
    <col min="5" max="5" width="7.7109375" bestFit="1" customWidth="1"/>
    <col min="6" max="6" width="10.85546875" customWidth="1"/>
    <col min="7" max="7" width="10.7109375" customWidth="1"/>
    <col min="8" max="8" width="10.42578125" customWidth="1"/>
    <col min="9" max="9" width="10.5703125" customWidth="1"/>
    <col min="10" max="10" width="11.5703125" customWidth="1"/>
    <col min="11" max="11" width="10.28515625" customWidth="1"/>
    <col min="12" max="12" width="10.42578125" customWidth="1"/>
    <col min="13" max="14" width="10.28515625" customWidth="1"/>
    <col min="15" max="15" width="4.5703125" customWidth="1"/>
    <col min="16" max="16" width="11.85546875" customWidth="1"/>
    <col min="18" max="18" width="10.140625" bestFit="1" customWidth="1"/>
  </cols>
  <sheetData>
    <row r="1" spans="1:32" x14ac:dyDescent="0.25">
      <c r="A1" s="1" t="s">
        <v>0</v>
      </c>
      <c r="B1" s="3" t="s">
        <v>1</v>
      </c>
      <c r="C1" s="5" t="s">
        <v>2</v>
      </c>
      <c r="D1" t="s">
        <v>170</v>
      </c>
      <c r="E1" t="s">
        <v>393</v>
      </c>
      <c r="F1" s="9">
        <v>45889</v>
      </c>
      <c r="G1" s="9">
        <v>45890</v>
      </c>
      <c r="H1" s="9">
        <v>45899</v>
      </c>
      <c r="I1" s="9">
        <v>45903</v>
      </c>
      <c r="J1" s="9">
        <v>45906</v>
      </c>
      <c r="K1" s="9">
        <v>45915</v>
      </c>
      <c r="L1" s="9">
        <v>45917</v>
      </c>
      <c r="M1" s="9">
        <v>45919</v>
      </c>
      <c r="N1" s="9">
        <v>45920</v>
      </c>
      <c r="O1">
        <v>25</v>
      </c>
      <c r="P1" s="9">
        <v>45926</v>
      </c>
      <c r="Q1" t="s">
        <v>8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x14ac:dyDescent="0.25">
      <c r="A2" s="1">
        <v>1</v>
      </c>
      <c r="B2" s="3" t="s">
        <v>132</v>
      </c>
      <c r="C2" s="5" t="s">
        <v>7</v>
      </c>
      <c r="Q2">
        <f>SUM(D2:P2)</f>
        <v>0</v>
      </c>
    </row>
    <row r="3" spans="1:32" x14ac:dyDescent="0.25">
      <c r="A3" s="1">
        <v>2</v>
      </c>
      <c r="B3" s="3" t="s">
        <v>163</v>
      </c>
      <c r="C3" s="5" t="s">
        <v>7</v>
      </c>
      <c r="Q3">
        <f>SUM(D3:P3)</f>
        <v>0</v>
      </c>
    </row>
    <row r="4" spans="1:32" x14ac:dyDescent="0.25">
      <c r="A4" s="1">
        <v>3</v>
      </c>
      <c r="B4" s="3" t="s">
        <v>345</v>
      </c>
      <c r="C4" s="3" t="s">
        <v>7</v>
      </c>
      <c r="Q4">
        <f>SUM(D4:P4)</f>
        <v>0</v>
      </c>
    </row>
    <row r="5" spans="1:32" x14ac:dyDescent="0.25">
      <c r="A5" s="1">
        <v>4</v>
      </c>
      <c r="B5" s="3" t="s">
        <v>181</v>
      </c>
      <c r="C5" s="3" t="s">
        <v>7</v>
      </c>
      <c r="Q5">
        <f t="shared" ref="Q5:Q65" si="0">SUM(D5:P5)</f>
        <v>0</v>
      </c>
    </row>
    <row r="6" spans="1:32" x14ac:dyDescent="0.25">
      <c r="A6" s="1">
        <v>5</v>
      </c>
      <c r="B6" s="3" t="s">
        <v>333</v>
      </c>
      <c r="C6" s="3" t="s">
        <v>7</v>
      </c>
      <c r="Q6">
        <f t="shared" si="0"/>
        <v>0</v>
      </c>
    </row>
    <row r="7" spans="1:32" x14ac:dyDescent="0.25">
      <c r="A7" s="1">
        <v>6</v>
      </c>
      <c r="B7" s="3" t="s">
        <v>99</v>
      </c>
      <c r="C7" s="5" t="s">
        <v>7</v>
      </c>
      <c r="I7">
        <v>2</v>
      </c>
      <c r="Q7">
        <f t="shared" si="0"/>
        <v>2</v>
      </c>
    </row>
    <row r="8" spans="1:32" x14ac:dyDescent="0.25">
      <c r="A8" s="1">
        <v>7</v>
      </c>
      <c r="B8" s="3" t="s">
        <v>43</v>
      </c>
      <c r="C8" s="5" t="s">
        <v>7</v>
      </c>
      <c r="Q8">
        <f t="shared" si="0"/>
        <v>0</v>
      </c>
    </row>
    <row r="9" spans="1:32" x14ac:dyDescent="0.25">
      <c r="A9" s="1">
        <v>8</v>
      </c>
      <c r="B9" s="6" t="s">
        <v>14</v>
      </c>
      <c r="C9" s="5" t="s">
        <v>7</v>
      </c>
      <c r="Q9">
        <f t="shared" si="0"/>
        <v>0</v>
      </c>
    </row>
    <row r="10" spans="1:32" x14ac:dyDescent="0.25">
      <c r="A10" s="1">
        <v>9</v>
      </c>
      <c r="B10" s="3" t="s">
        <v>365</v>
      </c>
      <c r="C10" s="3" t="s">
        <v>7</v>
      </c>
      <c r="Q10">
        <f t="shared" si="0"/>
        <v>0</v>
      </c>
    </row>
    <row r="11" spans="1:32" x14ac:dyDescent="0.25">
      <c r="A11" s="1">
        <v>10</v>
      </c>
      <c r="B11" s="3" t="s">
        <v>230</v>
      </c>
      <c r="C11" s="3" t="s">
        <v>7</v>
      </c>
      <c r="Q11">
        <f t="shared" si="0"/>
        <v>0</v>
      </c>
    </row>
    <row r="12" spans="1:32" x14ac:dyDescent="0.25">
      <c r="A12" s="1">
        <v>11</v>
      </c>
      <c r="B12" s="3" t="s">
        <v>383</v>
      </c>
      <c r="C12" s="3" t="s">
        <v>7</v>
      </c>
      <c r="Q12">
        <f t="shared" si="0"/>
        <v>0</v>
      </c>
    </row>
    <row r="13" spans="1:32" x14ac:dyDescent="0.25">
      <c r="A13" s="1">
        <v>12</v>
      </c>
      <c r="B13" s="3" t="s">
        <v>382</v>
      </c>
      <c r="C13" s="3" t="s">
        <v>7</v>
      </c>
      <c r="Q13">
        <f t="shared" si="0"/>
        <v>0</v>
      </c>
    </row>
    <row r="14" spans="1:32" x14ac:dyDescent="0.25">
      <c r="A14" s="1">
        <v>13</v>
      </c>
      <c r="B14" s="3" t="s">
        <v>299</v>
      </c>
      <c r="C14" s="3" t="s">
        <v>7</v>
      </c>
      <c r="Q14">
        <f t="shared" si="0"/>
        <v>0</v>
      </c>
    </row>
    <row r="15" spans="1:32" x14ac:dyDescent="0.25">
      <c r="A15" s="1">
        <v>14</v>
      </c>
      <c r="B15" s="3" t="s">
        <v>204</v>
      </c>
      <c r="C15" s="3" t="s">
        <v>7</v>
      </c>
      <c r="Q15">
        <f t="shared" si="0"/>
        <v>0</v>
      </c>
    </row>
    <row r="16" spans="1:32" x14ac:dyDescent="0.25">
      <c r="A16" s="1">
        <v>15</v>
      </c>
      <c r="B16" s="3" t="s">
        <v>203</v>
      </c>
      <c r="C16" s="3" t="s">
        <v>7</v>
      </c>
      <c r="Q16">
        <f t="shared" si="0"/>
        <v>0</v>
      </c>
    </row>
    <row r="17" spans="1:17" x14ac:dyDescent="0.25">
      <c r="A17" s="1">
        <v>16</v>
      </c>
      <c r="B17" s="3" t="s">
        <v>206</v>
      </c>
      <c r="C17" s="3" t="s">
        <v>7</v>
      </c>
      <c r="Q17">
        <f t="shared" si="0"/>
        <v>0</v>
      </c>
    </row>
    <row r="18" spans="1:17" x14ac:dyDescent="0.25">
      <c r="A18" s="1">
        <v>17</v>
      </c>
      <c r="B18" s="3" t="s">
        <v>205</v>
      </c>
      <c r="C18" s="3" t="s">
        <v>7</v>
      </c>
      <c r="Q18">
        <f t="shared" si="0"/>
        <v>0</v>
      </c>
    </row>
    <row r="19" spans="1:17" x14ac:dyDescent="0.25">
      <c r="A19" s="1">
        <v>18</v>
      </c>
      <c r="B19" s="3" t="s">
        <v>340</v>
      </c>
      <c r="C19" s="3" t="s">
        <v>7</v>
      </c>
      <c r="Q19">
        <f t="shared" si="0"/>
        <v>0</v>
      </c>
    </row>
    <row r="20" spans="1:17" x14ac:dyDescent="0.25">
      <c r="A20" s="1">
        <v>19</v>
      </c>
      <c r="B20" s="3" t="s">
        <v>207</v>
      </c>
      <c r="C20" s="3" t="s">
        <v>7</v>
      </c>
      <c r="Q20">
        <f t="shared" si="0"/>
        <v>0</v>
      </c>
    </row>
    <row r="21" spans="1:17" x14ac:dyDescent="0.25">
      <c r="A21" s="1">
        <v>20</v>
      </c>
      <c r="B21" s="3" t="s">
        <v>219</v>
      </c>
      <c r="C21" s="3" t="s">
        <v>7</v>
      </c>
      <c r="Q21">
        <f t="shared" si="0"/>
        <v>0</v>
      </c>
    </row>
    <row r="22" spans="1:17" x14ac:dyDescent="0.25">
      <c r="A22" s="1">
        <v>21</v>
      </c>
      <c r="B22" s="3" t="s">
        <v>376</v>
      </c>
      <c r="C22" s="5" t="s">
        <v>7</v>
      </c>
      <c r="D22">
        <v>2</v>
      </c>
      <c r="Q22">
        <f t="shared" si="0"/>
        <v>2</v>
      </c>
    </row>
    <row r="23" spans="1:17" x14ac:dyDescent="0.25">
      <c r="A23" s="1">
        <v>22</v>
      </c>
      <c r="B23" s="3" t="s">
        <v>266</v>
      </c>
      <c r="C23" s="3" t="s">
        <v>7</v>
      </c>
      <c r="Q23">
        <f t="shared" si="0"/>
        <v>0</v>
      </c>
    </row>
    <row r="24" spans="1:17" x14ac:dyDescent="0.25">
      <c r="A24" s="1">
        <v>23</v>
      </c>
      <c r="B24" s="3" t="s">
        <v>283</v>
      </c>
      <c r="C24" s="3" t="s">
        <v>7</v>
      </c>
      <c r="Q24">
        <f t="shared" si="0"/>
        <v>0</v>
      </c>
    </row>
    <row r="25" spans="1:17" x14ac:dyDescent="0.25">
      <c r="A25" s="1">
        <v>24</v>
      </c>
      <c r="B25" s="3" t="s">
        <v>375</v>
      </c>
      <c r="C25" s="5" t="s">
        <v>7</v>
      </c>
      <c r="D25">
        <v>6</v>
      </c>
      <c r="Q25">
        <f t="shared" si="0"/>
        <v>6</v>
      </c>
    </row>
    <row r="26" spans="1:17" x14ac:dyDescent="0.25">
      <c r="A26" s="1">
        <v>25</v>
      </c>
      <c r="B26" s="3" t="s">
        <v>363</v>
      </c>
      <c r="C26" s="3" t="s">
        <v>7</v>
      </c>
      <c r="Q26">
        <f t="shared" si="0"/>
        <v>0</v>
      </c>
    </row>
    <row r="27" spans="1:17" x14ac:dyDescent="0.25">
      <c r="A27" s="1">
        <v>26</v>
      </c>
      <c r="B27" s="3" t="s">
        <v>362</v>
      </c>
      <c r="C27" s="3" t="s">
        <v>7</v>
      </c>
      <c r="Q27">
        <f t="shared" si="0"/>
        <v>0</v>
      </c>
    </row>
    <row r="28" spans="1:17" x14ac:dyDescent="0.25">
      <c r="A28" s="1">
        <v>27</v>
      </c>
      <c r="B28" s="3" t="s">
        <v>293</v>
      </c>
      <c r="C28" s="3" t="s">
        <v>7</v>
      </c>
      <c r="Q28">
        <f t="shared" si="0"/>
        <v>0</v>
      </c>
    </row>
    <row r="29" spans="1:17" x14ac:dyDescent="0.25">
      <c r="A29" s="1">
        <v>28</v>
      </c>
      <c r="B29" s="3" t="s">
        <v>292</v>
      </c>
      <c r="C29" s="3" t="s">
        <v>7</v>
      </c>
      <c r="Q29">
        <f t="shared" si="0"/>
        <v>0</v>
      </c>
    </row>
    <row r="30" spans="1:17" x14ac:dyDescent="0.25">
      <c r="A30" s="1">
        <v>29</v>
      </c>
      <c r="B30" s="3" t="s">
        <v>279</v>
      </c>
      <c r="C30" s="3" t="s">
        <v>7</v>
      </c>
      <c r="Q30">
        <f t="shared" si="0"/>
        <v>0</v>
      </c>
    </row>
    <row r="31" spans="1:17" x14ac:dyDescent="0.25">
      <c r="A31" s="1">
        <v>30</v>
      </c>
      <c r="B31" s="3" t="s">
        <v>264</v>
      </c>
      <c r="C31" s="3" t="s">
        <v>7</v>
      </c>
      <c r="Q31">
        <f t="shared" si="0"/>
        <v>0</v>
      </c>
    </row>
    <row r="32" spans="1:17" x14ac:dyDescent="0.25">
      <c r="A32" s="1">
        <v>31</v>
      </c>
      <c r="B32" s="3" t="s">
        <v>332</v>
      </c>
      <c r="C32" s="3" t="s">
        <v>7</v>
      </c>
      <c r="Q32">
        <f t="shared" si="0"/>
        <v>0</v>
      </c>
    </row>
    <row r="33" spans="1:17" x14ac:dyDescent="0.25">
      <c r="A33" s="1">
        <v>32</v>
      </c>
      <c r="B33" s="3" t="s">
        <v>130</v>
      </c>
      <c r="C33" s="5" t="s">
        <v>7</v>
      </c>
      <c r="Q33">
        <f t="shared" si="0"/>
        <v>0</v>
      </c>
    </row>
    <row r="34" spans="1:17" x14ac:dyDescent="0.25">
      <c r="A34" s="1">
        <v>33</v>
      </c>
      <c r="B34" s="3" t="s">
        <v>131</v>
      </c>
      <c r="C34" s="5" t="s">
        <v>7</v>
      </c>
      <c r="Q34">
        <f t="shared" si="0"/>
        <v>0</v>
      </c>
    </row>
    <row r="35" spans="1:17" x14ac:dyDescent="0.25">
      <c r="A35" s="1">
        <v>34</v>
      </c>
      <c r="B35" s="3" t="s">
        <v>129</v>
      </c>
      <c r="C35" s="5" t="s">
        <v>7</v>
      </c>
      <c r="Q35">
        <f t="shared" si="0"/>
        <v>0</v>
      </c>
    </row>
    <row r="36" spans="1:17" x14ac:dyDescent="0.25">
      <c r="A36" s="1">
        <v>35</v>
      </c>
      <c r="B36" s="3" t="s">
        <v>137</v>
      </c>
      <c r="C36" s="5" t="s">
        <v>7</v>
      </c>
      <c r="Q36">
        <f t="shared" si="0"/>
        <v>0</v>
      </c>
    </row>
    <row r="37" spans="1:17" x14ac:dyDescent="0.25">
      <c r="A37" s="1">
        <v>36</v>
      </c>
      <c r="B37" s="3" t="s">
        <v>31</v>
      </c>
      <c r="C37" s="5" t="s">
        <v>7</v>
      </c>
      <c r="Q37">
        <f t="shared" si="0"/>
        <v>0</v>
      </c>
    </row>
    <row r="38" spans="1:17" x14ac:dyDescent="0.25">
      <c r="A38" s="1">
        <v>37</v>
      </c>
      <c r="B38" s="3" t="s">
        <v>173</v>
      </c>
      <c r="C38" s="5" t="s">
        <v>7</v>
      </c>
      <c r="G38">
        <v>2</v>
      </c>
      <c r="J38">
        <v>4</v>
      </c>
      <c r="Q38">
        <f>SUM(D38:P38)</f>
        <v>6</v>
      </c>
    </row>
    <row r="39" spans="1:17" x14ac:dyDescent="0.25">
      <c r="A39" s="1">
        <v>38</v>
      </c>
      <c r="B39" s="3" t="s">
        <v>27</v>
      </c>
      <c r="C39" s="5" t="s">
        <v>7</v>
      </c>
      <c r="D39">
        <v>10</v>
      </c>
      <c r="Q39">
        <f t="shared" si="0"/>
        <v>10</v>
      </c>
    </row>
    <row r="40" spans="1:17" x14ac:dyDescent="0.25">
      <c r="A40" s="1">
        <v>39</v>
      </c>
      <c r="B40" s="3" t="s">
        <v>222</v>
      </c>
      <c r="C40" s="3" t="s">
        <v>7</v>
      </c>
      <c r="Q40">
        <f t="shared" si="0"/>
        <v>0</v>
      </c>
    </row>
    <row r="41" spans="1:17" x14ac:dyDescent="0.25">
      <c r="A41" s="1">
        <v>40</v>
      </c>
      <c r="B41" s="3" t="s">
        <v>225</v>
      </c>
      <c r="C41" s="3" t="s">
        <v>7</v>
      </c>
      <c r="Q41">
        <f t="shared" si="0"/>
        <v>0</v>
      </c>
    </row>
    <row r="42" spans="1:17" x14ac:dyDescent="0.25">
      <c r="A42" s="1">
        <v>41</v>
      </c>
      <c r="B42" s="3" t="s">
        <v>268</v>
      </c>
      <c r="C42" s="3" t="s">
        <v>7</v>
      </c>
      <c r="Q42">
        <f t="shared" si="0"/>
        <v>0</v>
      </c>
    </row>
    <row r="43" spans="1:17" x14ac:dyDescent="0.25">
      <c r="A43" s="1">
        <v>42</v>
      </c>
      <c r="B43" s="3" t="s">
        <v>196</v>
      </c>
      <c r="C43" s="3" t="s">
        <v>7</v>
      </c>
      <c r="D43" s="4"/>
      <c r="Q43">
        <f t="shared" si="0"/>
        <v>0</v>
      </c>
    </row>
    <row r="44" spans="1:17" x14ac:dyDescent="0.25">
      <c r="A44" s="1">
        <v>43</v>
      </c>
      <c r="B44" s="3" t="s">
        <v>112</v>
      </c>
      <c r="C44" s="5" t="s">
        <v>7</v>
      </c>
      <c r="Q44">
        <f t="shared" si="0"/>
        <v>0</v>
      </c>
    </row>
    <row r="45" spans="1:17" x14ac:dyDescent="0.25">
      <c r="A45" s="1">
        <v>44</v>
      </c>
      <c r="B45" s="3" t="s">
        <v>111</v>
      </c>
      <c r="C45" s="5" t="s">
        <v>7</v>
      </c>
      <c r="Q45">
        <f t="shared" si="0"/>
        <v>0</v>
      </c>
    </row>
    <row r="46" spans="1:17" x14ac:dyDescent="0.25">
      <c r="A46" s="1">
        <v>45</v>
      </c>
      <c r="B46" s="3" t="s">
        <v>18</v>
      </c>
      <c r="C46" s="5" t="s">
        <v>7</v>
      </c>
      <c r="Q46">
        <f t="shared" si="0"/>
        <v>0</v>
      </c>
    </row>
    <row r="47" spans="1:17" x14ac:dyDescent="0.25">
      <c r="A47" s="1">
        <v>46</v>
      </c>
      <c r="B47" s="3" t="s">
        <v>326</v>
      </c>
      <c r="C47" s="3" t="s">
        <v>7</v>
      </c>
      <c r="Q47">
        <f t="shared" si="0"/>
        <v>0</v>
      </c>
    </row>
    <row r="48" spans="1:17" x14ac:dyDescent="0.25">
      <c r="A48" s="1">
        <v>47</v>
      </c>
      <c r="B48" s="3" t="s">
        <v>325</v>
      </c>
      <c r="C48" s="3" t="s">
        <v>7</v>
      </c>
      <c r="Q48">
        <f t="shared" si="0"/>
        <v>0</v>
      </c>
    </row>
    <row r="49" spans="1:17" x14ac:dyDescent="0.25">
      <c r="A49" s="1">
        <v>48</v>
      </c>
      <c r="B49" s="3" t="s">
        <v>211</v>
      </c>
      <c r="C49" s="3" t="s">
        <v>7</v>
      </c>
      <c r="Q49">
        <f t="shared" si="0"/>
        <v>0</v>
      </c>
    </row>
    <row r="50" spans="1:17" x14ac:dyDescent="0.25">
      <c r="A50" s="1">
        <v>49</v>
      </c>
      <c r="B50" s="3" t="s">
        <v>327</v>
      </c>
      <c r="C50" s="3" t="s">
        <v>7</v>
      </c>
      <c r="Q50">
        <f t="shared" si="0"/>
        <v>0</v>
      </c>
    </row>
    <row r="51" spans="1:17" x14ac:dyDescent="0.25">
      <c r="A51" s="1">
        <v>50</v>
      </c>
      <c r="B51" s="3" t="s">
        <v>212</v>
      </c>
      <c r="C51" s="3" t="s">
        <v>7</v>
      </c>
      <c r="Q51">
        <f t="shared" si="0"/>
        <v>0</v>
      </c>
    </row>
    <row r="52" spans="1:17" x14ac:dyDescent="0.25">
      <c r="A52" s="1">
        <v>51</v>
      </c>
      <c r="B52" s="3" t="s">
        <v>338</v>
      </c>
      <c r="C52" s="3" t="s">
        <v>7</v>
      </c>
      <c r="Q52">
        <f t="shared" si="0"/>
        <v>0</v>
      </c>
    </row>
    <row r="53" spans="1:17" x14ac:dyDescent="0.25">
      <c r="A53" s="1">
        <v>52</v>
      </c>
      <c r="B53" s="3" t="s">
        <v>221</v>
      </c>
      <c r="C53" s="3" t="s">
        <v>7</v>
      </c>
      <c r="Q53">
        <f t="shared" si="0"/>
        <v>0</v>
      </c>
    </row>
    <row r="54" spans="1:17" x14ac:dyDescent="0.25">
      <c r="A54" s="1">
        <v>53</v>
      </c>
      <c r="B54" s="3" t="s">
        <v>224</v>
      </c>
      <c r="C54" s="3" t="s">
        <v>7</v>
      </c>
      <c r="Q54">
        <f t="shared" si="0"/>
        <v>0</v>
      </c>
    </row>
    <row r="55" spans="1:17" x14ac:dyDescent="0.25">
      <c r="A55" s="1">
        <v>54</v>
      </c>
      <c r="B55" s="3" t="s">
        <v>339</v>
      </c>
      <c r="C55" s="3" t="s">
        <v>7</v>
      </c>
      <c r="Q55">
        <f t="shared" si="0"/>
        <v>0</v>
      </c>
    </row>
    <row r="56" spans="1:17" x14ac:dyDescent="0.25">
      <c r="A56" s="1">
        <v>55</v>
      </c>
      <c r="B56" s="3" t="s">
        <v>294</v>
      </c>
      <c r="C56" s="3" t="s">
        <v>7</v>
      </c>
      <c r="Q56">
        <f t="shared" si="0"/>
        <v>0</v>
      </c>
    </row>
    <row r="57" spans="1:17" x14ac:dyDescent="0.25">
      <c r="A57" s="1">
        <v>56</v>
      </c>
      <c r="B57" s="3" t="s">
        <v>246</v>
      </c>
      <c r="C57" s="3" t="s">
        <v>7</v>
      </c>
      <c r="Q57">
        <f t="shared" si="0"/>
        <v>0</v>
      </c>
    </row>
    <row r="58" spans="1:17" x14ac:dyDescent="0.25">
      <c r="A58" s="1">
        <v>57</v>
      </c>
      <c r="B58" s="3" t="s">
        <v>172</v>
      </c>
      <c r="C58" s="3" t="s">
        <v>7</v>
      </c>
      <c r="D58" s="4"/>
      <c r="Q58">
        <f t="shared" si="0"/>
        <v>0</v>
      </c>
    </row>
    <row r="59" spans="1:17" x14ac:dyDescent="0.25">
      <c r="A59" s="1">
        <v>58</v>
      </c>
      <c r="B59" s="3" t="s">
        <v>214</v>
      </c>
      <c r="C59" s="3" t="s">
        <v>7</v>
      </c>
      <c r="Q59">
        <f t="shared" si="0"/>
        <v>0</v>
      </c>
    </row>
    <row r="60" spans="1:17" x14ac:dyDescent="0.25">
      <c r="A60" s="1">
        <v>59</v>
      </c>
      <c r="B60" s="3" t="s">
        <v>155</v>
      </c>
      <c r="C60" s="5" t="s">
        <v>7</v>
      </c>
      <c r="Q60">
        <f t="shared" si="0"/>
        <v>0</v>
      </c>
    </row>
    <row r="61" spans="1:17" x14ac:dyDescent="0.25">
      <c r="A61" s="1">
        <v>60</v>
      </c>
      <c r="B61" s="3" t="s">
        <v>156</v>
      </c>
      <c r="C61" s="5" t="s">
        <v>7</v>
      </c>
      <c r="Q61">
        <f t="shared" si="0"/>
        <v>0</v>
      </c>
    </row>
    <row r="62" spans="1:17" x14ac:dyDescent="0.25">
      <c r="A62" s="1">
        <v>61</v>
      </c>
      <c r="B62" s="3" t="s">
        <v>154</v>
      </c>
      <c r="C62" s="5" t="s">
        <v>7</v>
      </c>
      <c r="Q62">
        <f t="shared" si="0"/>
        <v>0</v>
      </c>
    </row>
    <row r="63" spans="1:17" x14ac:dyDescent="0.25">
      <c r="A63" s="1">
        <v>62</v>
      </c>
      <c r="B63" s="3" t="s">
        <v>153</v>
      </c>
      <c r="C63" s="5" t="s">
        <v>7</v>
      </c>
      <c r="Q63">
        <f t="shared" si="0"/>
        <v>0</v>
      </c>
    </row>
    <row r="64" spans="1:17" x14ac:dyDescent="0.25">
      <c r="A64" s="1">
        <v>63</v>
      </c>
      <c r="B64" s="3" t="s">
        <v>213</v>
      </c>
      <c r="C64" s="3" t="s">
        <v>7</v>
      </c>
      <c r="Q64">
        <f t="shared" si="0"/>
        <v>0</v>
      </c>
    </row>
    <row r="65" spans="1:17" x14ac:dyDescent="0.25">
      <c r="A65" s="1">
        <v>64</v>
      </c>
      <c r="B65" s="3" t="s">
        <v>353</v>
      </c>
      <c r="C65" s="3" t="s">
        <v>7</v>
      </c>
      <c r="Q65">
        <f t="shared" si="0"/>
        <v>0</v>
      </c>
    </row>
    <row r="66" spans="1:17" x14ac:dyDescent="0.25">
      <c r="A66" s="1">
        <v>65</v>
      </c>
      <c r="B66" s="3" t="s">
        <v>351</v>
      </c>
      <c r="C66" s="3" t="s">
        <v>7</v>
      </c>
      <c r="Q66">
        <f t="shared" ref="Q66:Q129" si="1">SUM(D66:P66)</f>
        <v>0</v>
      </c>
    </row>
    <row r="67" spans="1:17" x14ac:dyDescent="0.25">
      <c r="A67" s="1">
        <v>66</v>
      </c>
      <c r="B67" s="3" t="s">
        <v>352</v>
      </c>
      <c r="C67" s="3" t="s">
        <v>7</v>
      </c>
      <c r="Q67">
        <f t="shared" si="1"/>
        <v>0</v>
      </c>
    </row>
    <row r="68" spans="1:17" x14ac:dyDescent="0.25">
      <c r="A68" s="1">
        <v>67</v>
      </c>
      <c r="B68" s="3" t="s">
        <v>318</v>
      </c>
      <c r="C68" s="3" t="s">
        <v>7</v>
      </c>
      <c r="Q68">
        <f t="shared" si="1"/>
        <v>0</v>
      </c>
    </row>
    <row r="69" spans="1:17" x14ac:dyDescent="0.25">
      <c r="A69" s="1">
        <v>68</v>
      </c>
      <c r="B69" s="3" t="s">
        <v>390</v>
      </c>
      <c r="C69" s="3" t="s">
        <v>7</v>
      </c>
      <c r="Q69">
        <f t="shared" si="1"/>
        <v>0</v>
      </c>
    </row>
    <row r="70" spans="1:17" x14ac:dyDescent="0.25">
      <c r="A70" s="1">
        <v>69</v>
      </c>
      <c r="B70" s="3" t="s">
        <v>254</v>
      </c>
      <c r="C70" s="3" t="s">
        <v>7</v>
      </c>
      <c r="Q70">
        <f t="shared" si="1"/>
        <v>0</v>
      </c>
    </row>
    <row r="71" spans="1:17" x14ac:dyDescent="0.25">
      <c r="A71" s="1">
        <v>70</v>
      </c>
      <c r="B71" s="3" t="s">
        <v>251</v>
      </c>
      <c r="C71" s="3" t="s">
        <v>7</v>
      </c>
      <c r="Q71">
        <f t="shared" si="1"/>
        <v>0</v>
      </c>
    </row>
    <row r="72" spans="1:17" x14ac:dyDescent="0.25">
      <c r="A72" s="1">
        <v>71</v>
      </c>
      <c r="B72" s="3" t="s">
        <v>253</v>
      </c>
      <c r="C72" s="3" t="s">
        <v>7</v>
      </c>
      <c r="Q72">
        <f t="shared" si="1"/>
        <v>0</v>
      </c>
    </row>
    <row r="73" spans="1:17" x14ac:dyDescent="0.25">
      <c r="A73" s="1">
        <v>72</v>
      </c>
      <c r="B73" s="3" t="s">
        <v>252</v>
      </c>
      <c r="C73" s="3" t="s">
        <v>7</v>
      </c>
      <c r="Q73">
        <f t="shared" si="1"/>
        <v>0</v>
      </c>
    </row>
    <row r="74" spans="1:17" x14ac:dyDescent="0.25">
      <c r="A74" s="1">
        <v>73</v>
      </c>
      <c r="B74" s="3" t="s">
        <v>256</v>
      </c>
      <c r="C74" s="3" t="s">
        <v>7</v>
      </c>
      <c r="Q74">
        <f t="shared" si="1"/>
        <v>0</v>
      </c>
    </row>
    <row r="75" spans="1:17" x14ac:dyDescent="0.25">
      <c r="A75" s="1">
        <v>74</v>
      </c>
      <c r="B75" s="3" t="s">
        <v>255</v>
      </c>
      <c r="C75" s="3" t="s">
        <v>7</v>
      </c>
      <c r="Q75">
        <f t="shared" si="1"/>
        <v>0</v>
      </c>
    </row>
    <row r="76" spans="1:17" x14ac:dyDescent="0.25">
      <c r="A76" s="1">
        <v>75</v>
      </c>
      <c r="B76" s="3" t="s">
        <v>367</v>
      </c>
      <c r="C76" s="5" t="s">
        <v>7</v>
      </c>
      <c r="D76">
        <v>30</v>
      </c>
      <c r="M76">
        <v>30</v>
      </c>
      <c r="Q76">
        <f t="shared" si="1"/>
        <v>60</v>
      </c>
    </row>
    <row r="77" spans="1:17" x14ac:dyDescent="0.25">
      <c r="A77" s="1">
        <v>76</v>
      </c>
      <c r="B77" s="3" t="s">
        <v>215</v>
      </c>
      <c r="C77" s="3" t="s">
        <v>7</v>
      </c>
      <c r="Q77">
        <f t="shared" si="1"/>
        <v>0</v>
      </c>
    </row>
    <row r="78" spans="1:17" x14ac:dyDescent="0.25">
      <c r="A78" s="1">
        <v>77</v>
      </c>
      <c r="B78" s="3" t="s">
        <v>100</v>
      </c>
      <c r="C78" s="5" t="s">
        <v>7</v>
      </c>
      <c r="Q78">
        <f t="shared" si="1"/>
        <v>0</v>
      </c>
    </row>
    <row r="79" spans="1:17" x14ac:dyDescent="0.25">
      <c r="A79" s="1">
        <v>78</v>
      </c>
      <c r="B79" s="3" t="s">
        <v>120</v>
      </c>
      <c r="C79" s="5" t="s">
        <v>7</v>
      </c>
      <c r="Q79">
        <f t="shared" si="1"/>
        <v>0</v>
      </c>
    </row>
    <row r="80" spans="1:17" x14ac:dyDescent="0.25">
      <c r="A80" s="1">
        <v>79</v>
      </c>
      <c r="B80" s="3" t="s">
        <v>122</v>
      </c>
      <c r="C80" s="5" t="s">
        <v>7</v>
      </c>
      <c r="Q80">
        <f t="shared" si="1"/>
        <v>0</v>
      </c>
    </row>
    <row r="81" spans="1:17" x14ac:dyDescent="0.25">
      <c r="A81" s="1">
        <v>80</v>
      </c>
      <c r="B81" s="3" t="s">
        <v>118</v>
      </c>
      <c r="C81" s="5" t="s">
        <v>7</v>
      </c>
      <c r="Q81">
        <f t="shared" si="1"/>
        <v>0</v>
      </c>
    </row>
    <row r="82" spans="1:17" x14ac:dyDescent="0.25">
      <c r="A82" s="1">
        <v>81</v>
      </c>
      <c r="B82" s="3" t="s">
        <v>121</v>
      </c>
      <c r="C82" s="5" t="s">
        <v>7</v>
      </c>
      <c r="Q82">
        <f t="shared" si="1"/>
        <v>0</v>
      </c>
    </row>
    <row r="83" spans="1:17" x14ac:dyDescent="0.25">
      <c r="A83" s="1">
        <v>82</v>
      </c>
      <c r="B83" s="3" t="s">
        <v>119</v>
      </c>
      <c r="C83" s="5" t="s">
        <v>7</v>
      </c>
      <c r="Q83">
        <f t="shared" si="1"/>
        <v>0</v>
      </c>
    </row>
    <row r="84" spans="1:17" x14ac:dyDescent="0.25">
      <c r="A84" s="1">
        <v>83</v>
      </c>
      <c r="B84" s="3" t="s">
        <v>116</v>
      </c>
      <c r="C84" s="5" t="s">
        <v>7</v>
      </c>
      <c r="Q84">
        <f t="shared" si="1"/>
        <v>0</v>
      </c>
    </row>
    <row r="85" spans="1:17" x14ac:dyDescent="0.25">
      <c r="A85" s="1">
        <v>84</v>
      </c>
      <c r="B85" s="3" t="s">
        <v>117</v>
      </c>
      <c r="C85" s="5" t="s">
        <v>7</v>
      </c>
      <c r="Q85">
        <f t="shared" si="1"/>
        <v>0</v>
      </c>
    </row>
    <row r="86" spans="1:17" x14ac:dyDescent="0.25">
      <c r="A86" s="1">
        <v>85</v>
      </c>
      <c r="B86" s="3" t="s">
        <v>123</v>
      </c>
      <c r="C86" s="5" t="s">
        <v>7</v>
      </c>
      <c r="Q86">
        <f t="shared" si="1"/>
        <v>0</v>
      </c>
    </row>
    <row r="87" spans="1:17" x14ac:dyDescent="0.25">
      <c r="A87" s="1">
        <v>86</v>
      </c>
      <c r="B87" s="3" t="s">
        <v>124</v>
      </c>
      <c r="C87" s="5" t="s">
        <v>7</v>
      </c>
      <c r="Q87">
        <f t="shared" si="1"/>
        <v>0</v>
      </c>
    </row>
    <row r="88" spans="1:17" x14ac:dyDescent="0.25">
      <c r="A88" s="1">
        <v>87</v>
      </c>
      <c r="B88" s="3" t="s">
        <v>405</v>
      </c>
      <c r="C88" s="3" t="s">
        <v>7</v>
      </c>
      <c r="D88" s="4"/>
      <c r="O88">
        <v>2</v>
      </c>
      <c r="Q88">
        <f>SUM(D88:P88)</f>
        <v>2</v>
      </c>
    </row>
    <row r="89" spans="1:17" x14ac:dyDescent="0.25">
      <c r="A89" s="1">
        <v>88</v>
      </c>
      <c r="B89" s="3" t="s">
        <v>276</v>
      </c>
      <c r="C89" s="3" t="s">
        <v>7</v>
      </c>
      <c r="Q89">
        <f t="shared" si="1"/>
        <v>0</v>
      </c>
    </row>
    <row r="90" spans="1:17" x14ac:dyDescent="0.25">
      <c r="A90" s="1">
        <v>89</v>
      </c>
      <c r="B90" s="3" t="s">
        <v>377</v>
      </c>
      <c r="C90" s="3" t="s">
        <v>7</v>
      </c>
      <c r="Q90">
        <f t="shared" si="1"/>
        <v>0</v>
      </c>
    </row>
    <row r="91" spans="1:17" x14ac:dyDescent="0.25">
      <c r="A91" s="1">
        <v>90</v>
      </c>
      <c r="B91" s="3" t="s">
        <v>378</v>
      </c>
      <c r="C91" s="3" t="s">
        <v>7</v>
      </c>
      <c r="Q91">
        <f t="shared" si="1"/>
        <v>0</v>
      </c>
    </row>
    <row r="92" spans="1:17" x14ac:dyDescent="0.25">
      <c r="A92" s="1">
        <v>91</v>
      </c>
      <c r="B92" s="3" t="s">
        <v>336</v>
      </c>
      <c r="C92" s="3" t="s">
        <v>7</v>
      </c>
      <c r="Q92">
        <f t="shared" si="1"/>
        <v>0</v>
      </c>
    </row>
    <row r="93" spans="1:17" x14ac:dyDescent="0.25">
      <c r="A93" s="1">
        <v>92</v>
      </c>
      <c r="B93" s="3" t="s">
        <v>380</v>
      </c>
      <c r="C93" s="3" t="s">
        <v>7</v>
      </c>
      <c r="Q93">
        <f t="shared" si="1"/>
        <v>0</v>
      </c>
    </row>
    <row r="94" spans="1:17" x14ac:dyDescent="0.25">
      <c r="A94" s="1">
        <v>93</v>
      </c>
      <c r="B94" s="3" t="s">
        <v>381</v>
      </c>
      <c r="C94" s="3" t="s">
        <v>7</v>
      </c>
      <c r="Q94">
        <f t="shared" si="1"/>
        <v>0</v>
      </c>
    </row>
    <row r="95" spans="1:17" x14ac:dyDescent="0.25">
      <c r="A95" s="1">
        <v>94</v>
      </c>
      <c r="B95" s="3" t="s">
        <v>337</v>
      </c>
      <c r="C95" s="3" t="s">
        <v>7</v>
      </c>
      <c r="Q95">
        <f t="shared" si="1"/>
        <v>0</v>
      </c>
    </row>
    <row r="96" spans="1:17" x14ac:dyDescent="0.25">
      <c r="A96" s="1">
        <v>95</v>
      </c>
      <c r="B96" s="3" t="s">
        <v>229</v>
      </c>
      <c r="C96" s="3" t="s">
        <v>7</v>
      </c>
      <c r="Q96">
        <f t="shared" si="1"/>
        <v>0</v>
      </c>
    </row>
    <row r="97" spans="1:17" x14ac:dyDescent="0.25">
      <c r="A97" s="1">
        <v>96</v>
      </c>
      <c r="B97" s="3" t="s">
        <v>227</v>
      </c>
      <c r="C97" s="3" t="s">
        <v>7</v>
      </c>
      <c r="E97">
        <v>2</v>
      </c>
      <c r="Q97">
        <f t="shared" si="1"/>
        <v>2</v>
      </c>
    </row>
    <row r="98" spans="1:17" x14ac:dyDescent="0.25">
      <c r="A98" s="1">
        <v>97</v>
      </c>
      <c r="B98" s="3" t="s">
        <v>179</v>
      </c>
      <c r="C98" s="3" t="s">
        <v>7</v>
      </c>
      <c r="Q98">
        <f t="shared" si="1"/>
        <v>0</v>
      </c>
    </row>
    <row r="99" spans="1:17" x14ac:dyDescent="0.25">
      <c r="A99" s="1">
        <v>98</v>
      </c>
      <c r="B99" s="3" t="s">
        <v>228</v>
      </c>
      <c r="C99" s="3" t="s">
        <v>7</v>
      </c>
      <c r="Q99">
        <f t="shared" si="1"/>
        <v>0</v>
      </c>
    </row>
    <row r="100" spans="1:17" x14ac:dyDescent="0.25">
      <c r="A100" s="1">
        <v>99</v>
      </c>
      <c r="B100" s="3" t="s">
        <v>242</v>
      </c>
      <c r="C100" s="3" t="s">
        <v>7</v>
      </c>
      <c r="Q100">
        <f t="shared" si="1"/>
        <v>0</v>
      </c>
    </row>
    <row r="101" spans="1:17" x14ac:dyDescent="0.25">
      <c r="A101" s="1">
        <v>100</v>
      </c>
      <c r="B101" s="3" t="s">
        <v>178</v>
      </c>
      <c r="C101" s="3" t="s">
        <v>7</v>
      </c>
      <c r="E101">
        <v>2</v>
      </c>
      <c r="Q101">
        <f t="shared" si="1"/>
        <v>2</v>
      </c>
    </row>
    <row r="102" spans="1:17" x14ac:dyDescent="0.25">
      <c r="A102" s="1">
        <v>101</v>
      </c>
      <c r="B102" s="3" t="s">
        <v>177</v>
      </c>
      <c r="C102" s="3" t="s">
        <v>7</v>
      </c>
      <c r="Q102">
        <f t="shared" si="1"/>
        <v>0</v>
      </c>
    </row>
    <row r="103" spans="1:17" x14ac:dyDescent="0.25">
      <c r="A103" s="1">
        <v>102</v>
      </c>
      <c r="B103" s="3" t="s">
        <v>96</v>
      </c>
      <c r="C103" s="5" t="s">
        <v>7</v>
      </c>
      <c r="Q103">
        <f t="shared" si="1"/>
        <v>0</v>
      </c>
    </row>
    <row r="104" spans="1:17" x14ac:dyDescent="0.25">
      <c r="A104" s="1">
        <v>103</v>
      </c>
      <c r="B104" s="3" t="s">
        <v>97</v>
      </c>
      <c r="C104" s="5" t="s">
        <v>7</v>
      </c>
      <c r="Q104">
        <f t="shared" si="1"/>
        <v>0</v>
      </c>
    </row>
    <row r="105" spans="1:17" x14ac:dyDescent="0.25">
      <c r="A105" s="1">
        <v>104</v>
      </c>
      <c r="B105" s="3" t="s">
        <v>95</v>
      </c>
      <c r="C105" s="5" t="s">
        <v>7</v>
      </c>
      <c r="E105">
        <v>2</v>
      </c>
      <c r="Q105">
        <f t="shared" si="1"/>
        <v>2</v>
      </c>
    </row>
    <row r="106" spans="1:17" x14ac:dyDescent="0.25">
      <c r="A106" s="1">
        <v>105</v>
      </c>
      <c r="B106" s="3" t="s">
        <v>317</v>
      </c>
      <c r="C106" s="3" t="s">
        <v>7</v>
      </c>
      <c r="Q106">
        <f t="shared" si="1"/>
        <v>0</v>
      </c>
    </row>
    <row r="107" spans="1:17" x14ac:dyDescent="0.25">
      <c r="A107" s="1">
        <v>106</v>
      </c>
      <c r="B107" s="3" t="s">
        <v>316</v>
      </c>
      <c r="C107" s="3" t="s">
        <v>7</v>
      </c>
      <c r="Q107">
        <f t="shared" si="1"/>
        <v>0</v>
      </c>
    </row>
    <row r="108" spans="1:17" x14ac:dyDescent="0.25">
      <c r="A108" s="1">
        <v>107</v>
      </c>
      <c r="B108" s="3" t="s">
        <v>397</v>
      </c>
      <c r="C108" s="3" t="s">
        <v>7</v>
      </c>
      <c r="Q108">
        <f t="shared" si="1"/>
        <v>0</v>
      </c>
    </row>
    <row r="109" spans="1:17" x14ac:dyDescent="0.25">
      <c r="A109" s="1">
        <v>108</v>
      </c>
      <c r="B109" s="3" t="s">
        <v>398</v>
      </c>
      <c r="C109" s="3" t="s">
        <v>7</v>
      </c>
      <c r="Q109">
        <f t="shared" si="1"/>
        <v>0</v>
      </c>
    </row>
    <row r="110" spans="1:17" x14ac:dyDescent="0.25">
      <c r="A110" s="1">
        <v>109</v>
      </c>
      <c r="B110" s="3" t="s">
        <v>396</v>
      </c>
      <c r="C110" s="3" t="s">
        <v>7</v>
      </c>
      <c r="Q110">
        <f t="shared" si="1"/>
        <v>0</v>
      </c>
    </row>
    <row r="111" spans="1:17" x14ac:dyDescent="0.25">
      <c r="A111" s="1">
        <v>110</v>
      </c>
      <c r="B111" s="3" t="s">
        <v>369</v>
      </c>
      <c r="C111" s="3" t="s">
        <v>7</v>
      </c>
      <c r="Q111">
        <f t="shared" si="1"/>
        <v>0</v>
      </c>
    </row>
    <row r="112" spans="1:17" x14ac:dyDescent="0.25">
      <c r="A112" s="1">
        <v>111</v>
      </c>
      <c r="B112" s="3" t="s">
        <v>392</v>
      </c>
      <c r="C112" s="3" t="s">
        <v>7</v>
      </c>
      <c r="Q112">
        <f t="shared" si="1"/>
        <v>0</v>
      </c>
    </row>
    <row r="113" spans="1:17" x14ac:dyDescent="0.25">
      <c r="A113" s="1">
        <v>112</v>
      </c>
      <c r="B113" s="3" t="s">
        <v>379</v>
      </c>
      <c r="C113" s="3" t="s">
        <v>7</v>
      </c>
      <c r="D113">
        <v>2</v>
      </c>
      <c r="Q113">
        <f t="shared" si="1"/>
        <v>2</v>
      </c>
    </row>
    <row r="114" spans="1:17" x14ac:dyDescent="0.25">
      <c r="A114" s="1">
        <v>113</v>
      </c>
      <c r="B114" s="3" t="s">
        <v>371</v>
      </c>
      <c r="C114" s="3" t="s">
        <v>7</v>
      </c>
      <c r="Q114">
        <f t="shared" si="1"/>
        <v>0</v>
      </c>
    </row>
    <row r="115" spans="1:17" x14ac:dyDescent="0.25">
      <c r="A115" s="1">
        <v>114</v>
      </c>
      <c r="B115" s="3" t="s">
        <v>370</v>
      </c>
      <c r="C115" s="3" t="s">
        <v>7</v>
      </c>
      <c r="Q115">
        <f t="shared" si="1"/>
        <v>0</v>
      </c>
    </row>
    <row r="116" spans="1:17" x14ac:dyDescent="0.25">
      <c r="A116" s="1">
        <v>115</v>
      </c>
      <c r="B116" s="3" t="s">
        <v>265</v>
      </c>
      <c r="C116" s="3" t="s">
        <v>7</v>
      </c>
      <c r="Q116">
        <f t="shared" si="1"/>
        <v>0</v>
      </c>
    </row>
    <row r="117" spans="1:17" x14ac:dyDescent="0.25">
      <c r="A117" s="1">
        <v>116</v>
      </c>
      <c r="B117" s="3" t="s">
        <v>267</v>
      </c>
      <c r="C117" s="3" t="s">
        <v>7</v>
      </c>
      <c r="Q117">
        <f t="shared" si="1"/>
        <v>0</v>
      </c>
    </row>
    <row r="118" spans="1:17" x14ac:dyDescent="0.25">
      <c r="A118" s="1">
        <v>117</v>
      </c>
      <c r="B118" s="3" t="s">
        <v>245</v>
      </c>
      <c r="C118" s="3" t="s">
        <v>7</v>
      </c>
      <c r="Q118">
        <f t="shared" si="1"/>
        <v>0</v>
      </c>
    </row>
    <row r="119" spans="1:17" x14ac:dyDescent="0.25">
      <c r="A119" s="1">
        <v>118</v>
      </c>
      <c r="B119" s="3" t="s">
        <v>295</v>
      </c>
      <c r="C119" s="3" t="s">
        <v>7</v>
      </c>
      <c r="Q119">
        <f t="shared" si="1"/>
        <v>0</v>
      </c>
    </row>
    <row r="120" spans="1:17" x14ac:dyDescent="0.25">
      <c r="A120" s="1">
        <v>119</v>
      </c>
      <c r="B120" s="3" t="s">
        <v>208</v>
      </c>
      <c r="C120" s="3" t="s">
        <v>7</v>
      </c>
      <c r="Q120">
        <f t="shared" si="1"/>
        <v>0</v>
      </c>
    </row>
    <row r="121" spans="1:17" x14ac:dyDescent="0.25">
      <c r="A121" s="1">
        <v>120</v>
      </c>
      <c r="B121" s="3" t="s">
        <v>288</v>
      </c>
      <c r="C121" s="3" t="s">
        <v>7</v>
      </c>
      <c r="Q121">
        <f t="shared" si="1"/>
        <v>0</v>
      </c>
    </row>
    <row r="122" spans="1:17" x14ac:dyDescent="0.25">
      <c r="A122" s="1">
        <v>121</v>
      </c>
      <c r="B122" s="3" t="s">
        <v>289</v>
      </c>
      <c r="C122" s="3" t="s">
        <v>7</v>
      </c>
      <c r="Q122">
        <f t="shared" si="1"/>
        <v>0</v>
      </c>
    </row>
    <row r="123" spans="1:17" x14ac:dyDescent="0.25">
      <c r="A123" s="1">
        <v>122</v>
      </c>
      <c r="B123" s="3" t="s">
        <v>290</v>
      </c>
      <c r="C123" s="3" t="s">
        <v>7</v>
      </c>
      <c r="Q123">
        <f t="shared" si="1"/>
        <v>0</v>
      </c>
    </row>
    <row r="124" spans="1:17" x14ac:dyDescent="0.25">
      <c r="A124" s="1">
        <v>123</v>
      </c>
      <c r="B124" s="3" t="s">
        <v>274</v>
      </c>
      <c r="C124" s="3" t="s">
        <v>7</v>
      </c>
      <c r="Q124">
        <f t="shared" si="1"/>
        <v>0</v>
      </c>
    </row>
    <row r="125" spans="1:17" x14ac:dyDescent="0.25">
      <c r="A125" s="1">
        <v>124</v>
      </c>
      <c r="B125" s="3" t="s">
        <v>272</v>
      </c>
      <c r="C125" s="3" t="s">
        <v>7</v>
      </c>
      <c r="Q125">
        <f t="shared" si="1"/>
        <v>0</v>
      </c>
    </row>
    <row r="126" spans="1:17" x14ac:dyDescent="0.25">
      <c r="A126" s="1">
        <v>125</v>
      </c>
      <c r="B126" s="3" t="s">
        <v>271</v>
      </c>
      <c r="C126" s="3" t="s">
        <v>7</v>
      </c>
      <c r="Q126">
        <f t="shared" si="1"/>
        <v>0</v>
      </c>
    </row>
    <row r="127" spans="1:17" x14ac:dyDescent="0.25">
      <c r="A127" s="1">
        <v>126</v>
      </c>
      <c r="B127" s="3" t="s">
        <v>273</v>
      </c>
      <c r="C127" s="3" t="s">
        <v>7</v>
      </c>
      <c r="Q127">
        <f t="shared" si="1"/>
        <v>0</v>
      </c>
    </row>
    <row r="128" spans="1:17" x14ac:dyDescent="0.25">
      <c r="A128" s="1">
        <v>127</v>
      </c>
      <c r="B128" s="3" t="s">
        <v>270</v>
      </c>
      <c r="C128" s="3" t="s">
        <v>7</v>
      </c>
      <c r="Q128">
        <f t="shared" si="1"/>
        <v>0</v>
      </c>
    </row>
    <row r="129" spans="1:17" x14ac:dyDescent="0.25">
      <c r="A129" s="1">
        <v>128</v>
      </c>
      <c r="B129" s="3" t="s">
        <v>175</v>
      </c>
      <c r="C129" s="5" t="s">
        <v>7</v>
      </c>
      <c r="Q129">
        <f t="shared" si="1"/>
        <v>0</v>
      </c>
    </row>
    <row r="130" spans="1:17" x14ac:dyDescent="0.25">
      <c r="A130" s="1">
        <v>129</v>
      </c>
      <c r="C130" s="3" t="s">
        <v>7</v>
      </c>
      <c r="D130" s="4"/>
      <c r="Q130">
        <f t="shared" ref="Q130:Q193" si="2">SUM(D130:P130)</f>
        <v>0</v>
      </c>
    </row>
    <row r="131" spans="1:17" x14ac:dyDescent="0.25">
      <c r="A131" s="1">
        <v>130</v>
      </c>
      <c r="B131" s="3" t="s">
        <v>372</v>
      </c>
      <c r="C131" s="3" t="s">
        <v>7</v>
      </c>
      <c r="Q131">
        <f t="shared" si="2"/>
        <v>0</v>
      </c>
    </row>
    <row r="132" spans="1:17" x14ac:dyDescent="0.25">
      <c r="A132" s="1">
        <v>131</v>
      </c>
      <c r="C132" s="3" t="s">
        <v>7</v>
      </c>
      <c r="D132" s="4"/>
      <c r="Q132">
        <f t="shared" si="2"/>
        <v>0</v>
      </c>
    </row>
    <row r="133" spans="1:17" x14ac:dyDescent="0.25">
      <c r="A133" s="1">
        <v>132</v>
      </c>
      <c r="B133" s="3" t="s">
        <v>94</v>
      </c>
      <c r="C133" s="5" t="s">
        <v>7</v>
      </c>
      <c r="Q133">
        <f t="shared" si="2"/>
        <v>0</v>
      </c>
    </row>
    <row r="134" spans="1:17" x14ac:dyDescent="0.25">
      <c r="A134" s="1">
        <v>133</v>
      </c>
      <c r="B134" s="3" t="s">
        <v>209</v>
      </c>
      <c r="C134" s="3" t="s">
        <v>7</v>
      </c>
      <c r="Q134">
        <f t="shared" si="2"/>
        <v>0</v>
      </c>
    </row>
    <row r="135" spans="1:17" x14ac:dyDescent="0.25">
      <c r="A135" s="1">
        <v>134</v>
      </c>
      <c r="B135" s="3" t="s">
        <v>210</v>
      </c>
      <c r="C135" s="3" t="s">
        <v>7</v>
      </c>
      <c r="Q135">
        <f t="shared" si="2"/>
        <v>0</v>
      </c>
    </row>
    <row r="136" spans="1:17" x14ac:dyDescent="0.25">
      <c r="A136" s="1">
        <v>135</v>
      </c>
      <c r="B136" s="3" t="s">
        <v>389</v>
      </c>
      <c r="C136" s="3" t="s">
        <v>7</v>
      </c>
      <c r="D136">
        <v>10</v>
      </c>
      <c r="Q136">
        <f t="shared" si="2"/>
        <v>10</v>
      </c>
    </row>
    <row r="137" spans="1:17" x14ac:dyDescent="0.25">
      <c r="A137" s="1">
        <v>136</v>
      </c>
      <c r="B137" s="3" t="s">
        <v>388</v>
      </c>
      <c r="C137" s="3" t="s">
        <v>7</v>
      </c>
      <c r="D137">
        <v>1</v>
      </c>
      <c r="Q137">
        <f t="shared" si="2"/>
        <v>1</v>
      </c>
    </row>
    <row r="138" spans="1:17" x14ac:dyDescent="0.25">
      <c r="A138" s="1">
        <v>137</v>
      </c>
      <c r="B138" s="3" t="s">
        <v>278</v>
      </c>
      <c r="C138" s="3" t="s">
        <v>7</v>
      </c>
      <c r="D138">
        <v>4</v>
      </c>
      <c r="Q138">
        <f t="shared" si="2"/>
        <v>4</v>
      </c>
    </row>
    <row r="139" spans="1:17" x14ac:dyDescent="0.25">
      <c r="A139" s="1">
        <v>138</v>
      </c>
      <c r="B139" s="6" t="s">
        <v>16</v>
      </c>
      <c r="C139" s="5" t="s">
        <v>7</v>
      </c>
      <c r="Q139">
        <f t="shared" si="2"/>
        <v>0</v>
      </c>
    </row>
    <row r="140" spans="1:17" x14ac:dyDescent="0.25">
      <c r="A140" s="1">
        <v>139</v>
      </c>
      <c r="B140" s="6" t="s">
        <v>17</v>
      </c>
      <c r="C140" s="5" t="s">
        <v>7</v>
      </c>
      <c r="Q140">
        <f t="shared" si="2"/>
        <v>0</v>
      </c>
    </row>
    <row r="141" spans="1:17" x14ac:dyDescent="0.25">
      <c r="A141" s="1">
        <v>140</v>
      </c>
      <c r="B141" s="3" t="s">
        <v>247</v>
      </c>
      <c r="C141" s="3" t="s">
        <v>7</v>
      </c>
      <c r="Q141">
        <f t="shared" si="2"/>
        <v>0</v>
      </c>
    </row>
    <row r="142" spans="1:17" x14ac:dyDescent="0.25">
      <c r="A142" s="1">
        <v>141</v>
      </c>
      <c r="B142" s="3" t="s">
        <v>249</v>
      </c>
      <c r="C142" s="3" t="s">
        <v>7</v>
      </c>
      <c r="Q142">
        <f t="shared" si="2"/>
        <v>0</v>
      </c>
    </row>
    <row r="143" spans="1:17" x14ac:dyDescent="0.25">
      <c r="A143" s="1">
        <v>142</v>
      </c>
      <c r="B143" s="3" t="s">
        <v>248</v>
      </c>
      <c r="C143" s="3" t="s">
        <v>7</v>
      </c>
      <c r="Q143">
        <f t="shared" si="2"/>
        <v>0</v>
      </c>
    </row>
    <row r="144" spans="1:17" x14ac:dyDescent="0.25">
      <c r="A144" s="1">
        <v>143</v>
      </c>
      <c r="B144" s="3" t="s">
        <v>250</v>
      </c>
      <c r="C144" s="3" t="s">
        <v>7</v>
      </c>
      <c r="Q144">
        <f t="shared" si="2"/>
        <v>0</v>
      </c>
    </row>
    <row r="145" spans="1:17" x14ac:dyDescent="0.25">
      <c r="A145" s="1">
        <v>144</v>
      </c>
      <c r="B145" s="3" t="s">
        <v>335</v>
      </c>
      <c r="C145" s="3" t="s">
        <v>7</v>
      </c>
      <c r="Q145">
        <f t="shared" si="2"/>
        <v>0</v>
      </c>
    </row>
    <row r="146" spans="1:17" x14ac:dyDescent="0.25">
      <c r="A146" s="1">
        <v>145</v>
      </c>
      <c r="B146" s="3" t="s">
        <v>280</v>
      </c>
      <c r="C146" s="3" t="s">
        <v>7</v>
      </c>
      <c r="Q146">
        <f t="shared" si="2"/>
        <v>0</v>
      </c>
    </row>
    <row r="147" spans="1:17" x14ac:dyDescent="0.25">
      <c r="A147" s="1">
        <v>146</v>
      </c>
      <c r="B147" s="3" t="s">
        <v>281</v>
      </c>
      <c r="C147" s="3" t="s">
        <v>7</v>
      </c>
      <c r="Q147">
        <f t="shared" si="2"/>
        <v>0</v>
      </c>
    </row>
    <row r="148" spans="1:17" x14ac:dyDescent="0.25">
      <c r="A148" s="1">
        <v>147</v>
      </c>
      <c r="B148" s="3" t="s">
        <v>342</v>
      </c>
      <c r="C148" s="3" t="s">
        <v>7</v>
      </c>
      <c r="L148">
        <v>6</v>
      </c>
      <c r="Q148">
        <f t="shared" si="2"/>
        <v>6</v>
      </c>
    </row>
    <row r="149" spans="1:17" x14ac:dyDescent="0.25">
      <c r="A149" s="1">
        <v>148</v>
      </c>
      <c r="B149" s="3" t="s">
        <v>343</v>
      </c>
      <c r="C149" s="3" t="s">
        <v>7</v>
      </c>
      <c r="Q149">
        <f t="shared" si="2"/>
        <v>0</v>
      </c>
    </row>
    <row r="150" spans="1:17" x14ac:dyDescent="0.25">
      <c r="A150" s="1">
        <v>149</v>
      </c>
      <c r="B150" s="3" t="s">
        <v>239</v>
      </c>
      <c r="C150" s="3" t="s">
        <v>7</v>
      </c>
      <c r="Q150">
        <f t="shared" si="2"/>
        <v>0</v>
      </c>
    </row>
    <row r="151" spans="1:17" x14ac:dyDescent="0.25">
      <c r="A151" s="1">
        <v>150</v>
      </c>
      <c r="B151" s="3" t="s">
        <v>233</v>
      </c>
      <c r="C151" s="3" t="s">
        <v>7</v>
      </c>
      <c r="Q151">
        <f t="shared" si="2"/>
        <v>0</v>
      </c>
    </row>
    <row r="152" spans="1:17" x14ac:dyDescent="0.25">
      <c r="A152" s="1">
        <v>151</v>
      </c>
      <c r="B152" s="3" t="s">
        <v>234</v>
      </c>
      <c r="C152" s="3" t="s">
        <v>7</v>
      </c>
      <c r="Q152">
        <f t="shared" si="2"/>
        <v>0</v>
      </c>
    </row>
    <row r="153" spans="1:17" x14ac:dyDescent="0.25">
      <c r="A153" s="1">
        <v>152</v>
      </c>
      <c r="B153" s="3" t="s">
        <v>232</v>
      </c>
      <c r="C153" s="3" t="s">
        <v>7</v>
      </c>
      <c r="D153" s="3" t="s">
        <v>7</v>
      </c>
      <c r="Q153">
        <f t="shared" si="2"/>
        <v>0</v>
      </c>
    </row>
    <row r="154" spans="1:17" x14ac:dyDescent="0.25">
      <c r="A154" s="1">
        <v>153</v>
      </c>
      <c r="B154" s="3" t="s">
        <v>394</v>
      </c>
      <c r="C154" s="3" t="s">
        <v>7</v>
      </c>
      <c r="E154">
        <v>4</v>
      </c>
      <c r="Q154">
        <f t="shared" si="2"/>
        <v>4</v>
      </c>
    </row>
    <row r="155" spans="1:17" x14ac:dyDescent="0.25">
      <c r="A155" s="1">
        <v>154</v>
      </c>
      <c r="B155" s="3" t="s">
        <v>237</v>
      </c>
      <c r="C155" s="3" t="s">
        <v>7</v>
      </c>
      <c r="Q155">
        <f t="shared" si="2"/>
        <v>0</v>
      </c>
    </row>
    <row r="156" spans="1:17" x14ac:dyDescent="0.25">
      <c r="A156" s="1">
        <v>155</v>
      </c>
      <c r="B156" s="3" t="s">
        <v>241</v>
      </c>
      <c r="C156" s="3" t="s">
        <v>7</v>
      </c>
      <c r="Q156">
        <f t="shared" si="2"/>
        <v>0</v>
      </c>
    </row>
    <row r="157" spans="1:17" x14ac:dyDescent="0.25">
      <c r="A157" s="1">
        <v>156</v>
      </c>
      <c r="B157" s="3" t="s">
        <v>236</v>
      </c>
      <c r="C157" s="3" t="s">
        <v>7</v>
      </c>
      <c r="Q157">
        <f t="shared" si="2"/>
        <v>0</v>
      </c>
    </row>
    <row r="158" spans="1:17" x14ac:dyDescent="0.25">
      <c r="A158" s="1">
        <v>157</v>
      </c>
      <c r="B158" s="3" t="s">
        <v>235</v>
      </c>
      <c r="C158" s="3" t="s">
        <v>7</v>
      </c>
      <c r="Q158">
        <f t="shared" si="2"/>
        <v>0</v>
      </c>
    </row>
    <row r="159" spans="1:17" x14ac:dyDescent="0.25">
      <c r="A159" s="1">
        <v>158</v>
      </c>
      <c r="B159" s="3" t="s">
        <v>238</v>
      </c>
      <c r="C159" s="3" t="s">
        <v>7</v>
      </c>
      <c r="Q159">
        <f t="shared" si="2"/>
        <v>0</v>
      </c>
    </row>
    <row r="160" spans="1:17" x14ac:dyDescent="0.25">
      <c r="A160" s="1">
        <v>159</v>
      </c>
      <c r="B160" s="3" t="s">
        <v>240</v>
      </c>
      <c r="C160" s="3" t="s">
        <v>7</v>
      </c>
      <c r="Q160">
        <f t="shared" si="2"/>
        <v>0</v>
      </c>
    </row>
    <row r="161" spans="1:17" x14ac:dyDescent="0.25">
      <c r="A161" s="1">
        <v>160</v>
      </c>
      <c r="B161" s="3" t="s">
        <v>387</v>
      </c>
      <c r="C161" s="3" t="s">
        <v>7</v>
      </c>
      <c r="D161">
        <v>10</v>
      </c>
      <c r="Q161">
        <f t="shared" si="2"/>
        <v>10</v>
      </c>
    </row>
    <row r="162" spans="1:17" x14ac:dyDescent="0.25">
      <c r="A162" s="1">
        <v>161</v>
      </c>
      <c r="B162" s="3" t="s">
        <v>44</v>
      </c>
      <c r="C162" s="5" t="s">
        <v>45</v>
      </c>
      <c r="Q162">
        <f t="shared" si="2"/>
        <v>0</v>
      </c>
    </row>
    <row r="163" spans="1:17" x14ac:dyDescent="0.25">
      <c r="A163" s="1">
        <v>162</v>
      </c>
      <c r="B163" s="3" t="s">
        <v>361</v>
      </c>
      <c r="C163" s="3" t="s">
        <v>7</v>
      </c>
      <c r="Q163">
        <f t="shared" si="2"/>
        <v>0</v>
      </c>
    </row>
    <row r="164" spans="1:17" x14ac:dyDescent="0.25">
      <c r="A164" s="1">
        <v>163</v>
      </c>
      <c r="B164" s="6" t="s">
        <v>13</v>
      </c>
      <c r="C164" s="5" t="s">
        <v>7</v>
      </c>
      <c r="Q164">
        <f t="shared" si="2"/>
        <v>0</v>
      </c>
    </row>
    <row r="165" spans="1:17" x14ac:dyDescent="0.25">
      <c r="A165" s="1">
        <v>164</v>
      </c>
      <c r="B165" s="3" t="s">
        <v>143</v>
      </c>
      <c r="C165" s="5" t="s">
        <v>7</v>
      </c>
      <c r="Q165">
        <f t="shared" si="2"/>
        <v>0</v>
      </c>
    </row>
    <row r="166" spans="1:17" x14ac:dyDescent="0.25">
      <c r="A166" s="1">
        <v>165</v>
      </c>
      <c r="B166" s="3" t="s">
        <v>140</v>
      </c>
      <c r="C166" s="5" t="s">
        <v>7</v>
      </c>
      <c r="Q166">
        <f t="shared" si="2"/>
        <v>0</v>
      </c>
    </row>
    <row r="167" spans="1:17" x14ac:dyDescent="0.25">
      <c r="A167" s="1">
        <v>166</v>
      </c>
      <c r="B167" s="3" t="s">
        <v>141</v>
      </c>
      <c r="C167" s="5" t="s">
        <v>7</v>
      </c>
      <c r="Q167">
        <f t="shared" si="2"/>
        <v>0</v>
      </c>
    </row>
    <row r="168" spans="1:17" x14ac:dyDescent="0.25">
      <c r="A168" s="1">
        <v>167</v>
      </c>
      <c r="B168" s="3" t="s">
        <v>138</v>
      </c>
      <c r="C168" s="5" t="s">
        <v>7</v>
      </c>
      <c r="Q168">
        <f t="shared" si="2"/>
        <v>0</v>
      </c>
    </row>
    <row r="169" spans="1:17" x14ac:dyDescent="0.25">
      <c r="A169" s="1">
        <v>168</v>
      </c>
      <c r="B169" s="3" t="s">
        <v>142</v>
      </c>
      <c r="C169" s="5" t="s">
        <v>7</v>
      </c>
      <c r="Q169">
        <f t="shared" si="2"/>
        <v>0</v>
      </c>
    </row>
    <row r="170" spans="1:17" x14ac:dyDescent="0.25">
      <c r="A170" s="1">
        <v>169</v>
      </c>
      <c r="B170" s="3" t="s">
        <v>144</v>
      </c>
      <c r="C170" s="5" t="s">
        <v>7</v>
      </c>
      <c r="Q170">
        <f t="shared" si="2"/>
        <v>0</v>
      </c>
    </row>
    <row r="171" spans="1:17" x14ac:dyDescent="0.25">
      <c r="A171" s="1">
        <v>170</v>
      </c>
      <c r="B171" s="3" t="s">
        <v>139</v>
      </c>
      <c r="C171" s="5" t="s">
        <v>7</v>
      </c>
      <c r="Q171">
        <f t="shared" si="2"/>
        <v>0</v>
      </c>
    </row>
    <row r="172" spans="1:17" x14ac:dyDescent="0.25">
      <c r="A172" s="1">
        <v>171</v>
      </c>
      <c r="B172" s="3" t="s">
        <v>348</v>
      </c>
      <c r="C172" s="3" t="s">
        <v>7</v>
      </c>
      <c r="Q172">
        <f t="shared" si="2"/>
        <v>0</v>
      </c>
    </row>
    <row r="173" spans="1:17" x14ac:dyDescent="0.25">
      <c r="A173" s="1">
        <v>172</v>
      </c>
      <c r="B173" s="3" t="s">
        <v>347</v>
      </c>
      <c r="C173" s="3" t="s">
        <v>7</v>
      </c>
      <c r="Q173">
        <f t="shared" si="2"/>
        <v>0</v>
      </c>
    </row>
    <row r="174" spans="1:17" x14ac:dyDescent="0.25">
      <c r="A174" s="1">
        <v>173</v>
      </c>
      <c r="B174" s="3" t="s">
        <v>346</v>
      </c>
      <c r="C174" s="3" t="s">
        <v>7</v>
      </c>
      <c r="Q174">
        <f t="shared" si="2"/>
        <v>0</v>
      </c>
    </row>
    <row r="175" spans="1:17" x14ac:dyDescent="0.25">
      <c r="A175" s="1">
        <v>174</v>
      </c>
      <c r="B175" s="3" t="s">
        <v>19</v>
      </c>
      <c r="C175" s="5" t="s">
        <v>7</v>
      </c>
      <c r="Q175">
        <f t="shared" si="2"/>
        <v>0</v>
      </c>
    </row>
    <row r="176" spans="1:17" x14ac:dyDescent="0.25">
      <c r="A176" s="1">
        <v>175</v>
      </c>
      <c r="C176" s="3" t="s">
        <v>7</v>
      </c>
      <c r="D176" s="4"/>
      <c r="Q176">
        <f t="shared" si="2"/>
        <v>0</v>
      </c>
    </row>
    <row r="177" spans="1:17" x14ac:dyDescent="0.25">
      <c r="A177" s="1">
        <v>176</v>
      </c>
      <c r="C177" s="3" t="s">
        <v>7</v>
      </c>
      <c r="D177" s="4"/>
      <c r="Q177">
        <f t="shared" si="2"/>
        <v>0</v>
      </c>
    </row>
    <row r="178" spans="1:17" x14ac:dyDescent="0.25">
      <c r="A178" s="1">
        <v>177</v>
      </c>
      <c r="C178" s="3" t="s">
        <v>7</v>
      </c>
      <c r="D178" s="4"/>
      <c r="Q178">
        <f t="shared" si="2"/>
        <v>0</v>
      </c>
    </row>
    <row r="179" spans="1:17" x14ac:dyDescent="0.25">
      <c r="A179" s="1">
        <v>178</v>
      </c>
      <c r="B179" s="3" t="s">
        <v>364</v>
      </c>
      <c r="C179" s="3" t="s">
        <v>7</v>
      </c>
      <c r="Q179">
        <f t="shared" si="2"/>
        <v>0</v>
      </c>
    </row>
    <row r="180" spans="1:17" x14ac:dyDescent="0.25">
      <c r="A180" s="1">
        <v>179</v>
      </c>
      <c r="B180" s="3" t="s">
        <v>334</v>
      </c>
      <c r="C180" s="3" t="s">
        <v>7</v>
      </c>
      <c r="Q180">
        <f t="shared" si="2"/>
        <v>0</v>
      </c>
    </row>
    <row r="181" spans="1:17" x14ac:dyDescent="0.25">
      <c r="A181" s="1">
        <v>180</v>
      </c>
      <c r="B181" s="3" t="s">
        <v>180</v>
      </c>
      <c r="C181" s="3" t="s">
        <v>7</v>
      </c>
      <c r="Q181">
        <f t="shared" si="2"/>
        <v>0</v>
      </c>
    </row>
    <row r="182" spans="1:17" x14ac:dyDescent="0.25">
      <c r="A182" s="1">
        <v>181</v>
      </c>
      <c r="B182" s="3" t="s">
        <v>244</v>
      </c>
      <c r="C182" s="3" t="s">
        <v>7</v>
      </c>
      <c r="Q182">
        <f t="shared" si="2"/>
        <v>0</v>
      </c>
    </row>
    <row r="183" spans="1:17" x14ac:dyDescent="0.25">
      <c r="A183" s="1">
        <v>182</v>
      </c>
      <c r="B183" s="3" t="s">
        <v>243</v>
      </c>
      <c r="C183" s="3" t="s">
        <v>7</v>
      </c>
      <c r="Q183">
        <f t="shared" si="2"/>
        <v>0</v>
      </c>
    </row>
    <row r="184" spans="1:17" x14ac:dyDescent="0.25">
      <c r="A184" s="1">
        <v>183</v>
      </c>
      <c r="B184" s="3" t="s">
        <v>354</v>
      </c>
      <c r="C184" s="3" t="s">
        <v>7</v>
      </c>
      <c r="P184">
        <v>28</v>
      </c>
      <c r="Q184">
        <f t="shared" si="2"/>
        <v>28</v>
      </c>
    </row>
    <row r="185" spans="1:17" x14ac:dyDescent="0.25">
      <c r="A185" s="1">
        <v>184</v>
      </c>
      <c r="B185" s="3" t="s">
        <v>90</v>
      </c>
      <c r="C185" s="5" t="s">
        <v>7</v>
      </c>
      <c r="Q185">
        <f t="shared" si="2"/>
        <v>0</v>
      </c>
    </row>
    <row r="186" spans="1:17" x14ac:dyDescent="0.25">
      <c r="A186" s="1">
        <v>185</v>
      </c>
      <c r="B186" s="3" t="s">
        <v>91</v>
      </c>
      <c r="C186" s="5" t="s">
        <v>7</v>
      </c>
      <c r="Q186">
        <f t="shared" si="2"/>
        <v>0</v>
      </c>
    </row>
    <row r="187" spans="1:17" x14ac:dyDescent="0.25">
      <c r="A187" s="1">
        <v>186</v>
      </c>
      <c r="B187" s="3" t="s">
        <v>25</v>
      </c>
      <c r="C187" s="5" t="s">
        <v>7</v>
      </c>
      <c r="Q187">
        <f t="shared" si="2"/>
        <v>0</v>
      </c>
    </row>
    <row r="188" spans="1:17" x14ac:dyDescent="0.25">
      <c r="A188" s="1">
        <v>187</v>
      </c>
      <c r="B188" s="3" t="s">
        <v>218</v>
      </c>
      <c r="C188" s="3" t="s">
        <v>7</v>
      </c>
      <c r="E188">
        <v>10</v>
      </c>
      <c r="Q188">
        <f t="shared" si="2"/>
        <v>10</v>
      </c>
    </row>
    <row r="189" spans="1:17" x14ac:dyDescent="0.25">
      <c r="A189" s="1">
        <v>188</v>
      </c>
      <c r="B189" s="3" t="s">
        <v>182</v>
      </c>
      <c r="C189" s="3" t="s">
        <v>7</v>
      </c>
      <c r="Q189">
        <f t="shared" si="2"/>
        <v>0</v>
      </c>
    </row>
    <row r="190" spans="1:17" x14ac:dyDescent="0.25">
      <c r="A190" s="1">
        <v>189</v>
      </c>
      <c r="B190" s="3" t="s">
        <v>197</v>
      </c>
      <c r="C190" s="3" t="s">
        <v>7</v>
      </c>
      <c r="Q190">
        <f t="shared" si="2"/>
        <v>0</v>
      </c>
    </row>
    <row r="191" spans="1:17" x14ac:dyDescent="0.25">
      <c r="A191" s="1">
        <v>190</v>
      </c>
      <c r="B191" s="3" t="s">
        <v>200</v>
      </c>
      <c r="C191" s="3" t="s">
        <v>7</v>
      </c>
      <c r="Q191">
        <f t="shared" si="2"/>
        <v>0</v>
      </c>
    </row>
    <row r="192" spans="1:17" x14ac:dyDescent="0.25">
      <c r="A192" s="1">
        <v>191</v>
      </c>
      <c r="B192" s="3" t="s">
        <v>199</v>
      </c>
      <c r="C192" s="3" t="s">
        <v>7</v>
      </c>
      <c r="Q192">
        <f t="shared" si="2"/>
        <v>0</v>
      </c>
    </row>
    <row r="193" spans="1:17" x14ac:dyDescent="0.25">
      <c r="A193" s="1">
        <v>192</v>
      </c>
      <c r="B193" s="3" t="s">
        <v>187</v>
      </c>
      <c r="C193" s="3" t="s">
        <v>7</v>
      </c>
      <c r="Q193">
        <f t="shared" si="2"/>
        <v>0</v>
      </c>
    </row>
    <row r="194" spans="1:17" x14ac:dyDescent="0.25">
      <c r="A194" s="1">
        <v>193</v>
      </c>
      <c r="B194" s="3" t="s">
        <v>198</v>
      </c>
      <c r="C194" s="3" t="s">
        <v>7</v>
      </c>
      <c r="Q194">
        <f t="shared" ref="Q194:Q257" si="3">SUM(D194:P194)</f>
        <v>0</v>
      </c>
    </row>
    <row r="195" spans="1:17" x14ac:dyDescent="0.25">
      <c r="A195" s="1">
        <v>194</v>
      </c>
      <c r="B195" s="3" t="s">
        <v>189</v>
      </c>
      <c r="C195" s="3" t="s">
        <v>7</v>
      </c>
      <c r="D195" s="4"/>
      <c r="Q195">
        <f t="shared" si="3"/>
        <v>0</v>
      </c>
    </row>
    <row r="196" spans="1:17" x14ac:dyDescent="0.25">
      <c r="A196" s="1">
        <v>195</v>
      </c>
      <c r="B196" s="3" t="s">
        <v>195</v>
      </c>
      <c r="C196" s="3" t="s">
        <v>7</v>
      </c>
      <c r="D196" s="4"/>
      <c r="Q196">
        <f t="shared" si="3"/>
        <v>0</v>
      </c>
    </row>
    <row r="197" spans="1:17" x14ac:dyDescent="0.25">
      <c r="A197" s="1">
        <v>196</v>
      </c>
      <c r="B197" s="3" t="s">
        <v>190</v>
      </c>
      <c r="C197" s="3" t="s">
        <v>7</v>
      </c>
      <c r="D197" s="4"/>
      <c r="Q197">
        <f t="shared" si="3"/>
        <v>0</v>
      </c>
    </row>
    <row r="198" spans="1:17" x14ac:dyDescent="0.25">
      <c r="A198" s="1">
        <v>197</v>
      </c>
      <c r="B198" s="3" t="s">
        <v>192</v>
      </c>
      <c r="C198" s="3" t="s">
        <v>7</v>
      </c>
      <c r="D198" s="4"/>
      <c r="Q198">
        <f t="shared" si="3"/>
        <v>0</v>
      </c>
    </row>
    <row r="199" spans="1:17" x14ac:dyDescent="0.25">
      <c r="A199" s="1">
        <v>198</v>
      </c>
      <c r="B199" s="3" t="s">
        <v>194</v>
      </c>
      <c r="C199" s="3" t="s">
        <v>7</v>
      </c>
      <c r="D199" s="4"/>
      <c r="Q199">
        <f t="shared" si="3"/>
        <v>0</v>
      </c>
    </row>
    <row r="200" spans="1:17" x14ac:dyDescent="0.25">
      <c r="A200" s="1">
        <v>199</v>
      </c>
      <c r="B200" s="3" t="s">
        <v>191</v>
      </c>
      <c r="C200" s="3" t="s">
        <v>7</v>
      </c>
      <c r="D200" s="4"/>
      <c r="Q200">
        <f t="shared" si="3"/>
        <v>0</v>
      </c>
    </row>
    <row r="201" spans="1:17" x14ac:dyDescent="0.25">
      <c r="A201" s="1">
        <v>200</v>
      </c>
      <c r="B201" s="3" t="s">
        <v>193</v>
      </c>
      <c r="C201" s="3" t="s">
        <v>7</v>
      </c>
      <c r="D201" s="4"/>
      <c r="Q201">
        <f t="shared" si="3"/>
        <v>0</v>
      </c>
    </row>
    <row r="202" spans="1:17" x14ac:dyDescent="0.25">
      <c r="A202" s="1">
        <v>201</v>
      </c>
      <c r="B202" s="3" t="s">
        <v>110</v>
      </c>
      <c r="C202" s="5" t="s">
        <v>7</v>
      </c>
      <c r="Q202">
        <f t="shared" si="3"/>
        <v>0</v>
      </c>
    </row>
    <row r="203" spans="1:17" x14ac:dyDescent="0.25">
      <c r="A203" s="1">
        <v>202</v>
      </c>
      <c r="B203" s="3" t="s">
        <v>188</v>
      </c>
      <c r="C203" s="3" t="s">
        <v>7</v>
      </c>
      <c r="D203" s="4"/>
      <c r="Q203">
        <f t="shared" si="3"/>
        <v>0</v>
      </c>
    </row>
    <row r="204" spans="1:17" x14ac:dyDescent="0.25">
      <c r="A204" s="1">
        <v>203</v>
      </c>
      <c r="B204" s="3" t="s">
        <v>126</v>
      </c>
      <c r="C204" s="5" t="s">
        <v>7</v>
      </c>
      <c r="Q204">
        <f t="shared" si="3"/>
        <v>0</v>
      </c>
    </row>
    <row r="205" spans="1:17" x14ac:dyDescent="0.25">
      <c r="A205" s="1">
        <v>204</v>
      </c>
      <c r="B205" s="3" t="s">
        <v>125</v>
      </c>
      <c r="C205" s="5" t="s">
        <v>7</v>
      </c>
      <c r="Q205">
        <f t="shared" si="3"/>
        <v>0</v>
      </c>
    </row>
    <row r="206" spans="1:17" x14ac:dyDescent="0.25">
      <c r="A206" s="1">
        <v>205</v>
      </c>
      <c r="B206" s="3" t="s">
        <v>127</v>
      </c>
      <c r="C206" s="5" t="s">
        <v>7</v>
      </c>
      <c r="Q206">
        <f t="shared" si="3"/>
        <v>0</v>
      </c>
    </row>
    <row r="207" spans="1:17" x14ac:dyDescent="0.25">
      <c r="A207" s="1">
        <v>206</v>
      </c>
      <c r="B207" s="3" t="s">
        <v>128</v>
      </c>
      <c r="C207" s="5" t="s">
        <v>7</v>
      </c>
      <c r="Q207">
        <f t="shared" si="3"/>
        <v>0</v>
      </c>
    </row>
    <row r="208" spans="1:17" x14ac:dyDescent="0.25">
      <c r="A208" s="1">
        <v>207</v>
      </c>
      <c r="B208" s="3" t="s">
        <v>344</v>
      </c>
      <c r="C208" s="3" t="s">
        <v>7</v>
      </c>
      <c r="Q208">
        <f t="shared" si="3"/>
        <v>0</v>
      </c>
    </row>
    <row r="209" spans="1:17" x14ac:dyDescent="0.25">
      <c r="A209" s="1">
        <v>208</v>
      </c>
      <c r="B209" s="3" t="s">
        <v>101</v>
      </c>
      <c r="C209" s="5" t="s">
        <v>7</v>
      </c>
      <c r="Q209">
        <f t="shared" si="3"/>
        <v>0</v>
      </c>
    </row>
    <row r="210" spans="1:17" x14ac:dyDescent="0.25">
      <c r="A210" s="1">
        <v>209</v>
      </c>
      <c r="B210" s="3" t="s">
        <v>102</v>
      </c>
      <c r="C210" s="5" t="s">
        <v>7</v>
      </c>
      <c r="Q210">
        <f t="shared" si="3"/>
        <v>0</v>
      </c>
    </row>
    <row r="211" spans="1:17" x14ac:dyDescent="0.25">
      <c r="A211" s="1">
        <v>210</v>
      </c>
      <c r="B211" s="3" t="s">
        <v>286</v>
      </c>
      <c r="C211" s="3" t="s">
        <v>7</v>
      </c>
      <c r="Q211">
        <f t="shared" si="3"/>
        <v>0</v>
      </c>
    </row>
    <row r="212" spans="1:17" x14ac:dyDescent="0.25">
      <c r="A212" s="1">
        <v>211</v>
      </c>
      <c r="B212" s="3" t="s">
        <v>148</v>
      </c>
      <c r="C212" s="5" t="s">
        <v>7</v>
      </c>
      <c r="Q212">
        <f t="shared" si="3"/>
        <v>0</v>
      </c>
    </row>
    <row r="213" spans="1:17" x14ac:dyDescent="0.25">
      <c r="A213" s="1">
        <v>212</v>
      </c>
      <c r="B213" s="3" t="s">
        <v>149</v>
      </c>
      <c r="C213" s="5" t="s">
        <v>7</v>
      </c>
      <c r="Q213">
        <f t="shared" si="3"/>
        <v>0</v>
      </c>
    </row>
    <row r="214" spans="1:17" x14ac:dyDescent="0.25">
      <c r="A214" s="1">
        <v>213</v>
      </c>
      <c r="B214" s="3" t="s">
        <v>145</v>
      </c>
      <c r="C214" s="5" t="s">
        <v>7</v>
      </c>
      <c r="Q214">
        <f t="shared" si="3"/>
        <v>0</v>
      </c>
    </row>
    <row r="215" spans="1:17" x14ac:dyDescent="0.25">
      <c r="A215" s="1">
        <v>214</v>
      </c>
      <c r="B215" s="3" t="s">
        <v>146</v>
      </c>
      <c r="C215" s="5" t="s">
        <v>7</v>
      </c>
      <c r="Q215">
        <f t="shared" si="3"/>
        <v>0</v>
      </c>
    </row>
    <row r="216" spans="1:17" x14ac:dyDescent="0.25">
      <c r="A216" s="1">
        <v>215</v>
      </c>
      <c r="B216" s="3" t="s">
        <v>147</v>
      </c>
      <c r="C216" s="5" t="s">
        <v>7</v>
      </c>
      <c r="Q216">
        <f t="shared" si="3"/>
        <v>0</v>
      </c>
    </row>
    <row r="217" spans="1:17" x14ac:dyDescent="0.25">
      <c r="A217" s="1">
        <v>216</v>
      </c>
      <c r="B217" s="3" t="s">
        <v>386</v>
      </c>
      <c r="C217" s="3" t="s">
        <v>7</v>
      </c>
      <c r="D217">
        <v>2</v>
      </c>
      <c r="Q217">
        <f t="shared" si="3"/>
        <v>2</v>
      </c>
    </row>
    <row r="218" spans="1:17" x14ac:dyDescent="0.25">
      <c r="A218" s="1">
        <v>217</v>
      </c>
      <c r="B218" s="3" t="s">
        <v>368</v>
      </c>
      <c r="C218" s="3" t="s">
        <v>7</v>
      </c>
      <c r="Q218">
        <f t="shared" si="3"/>
        <v>0</v>
      </c>
    </row>
    <row r="219" spans="1:17" x14ac:dyDescent="0.25">
      <c r="A219" s="1">
        <v>218</v>
      </c>
      <c r="B219" s="3" t="s">
        <v>160</v>
      </c>
      <c r="C219" s="5" t="s">
        <v>7</v>
      </c>
      <c r="Q219">
        <f t="shared" si="3"/>
        <v>0</v>
      </c>
    </row>
    <row r="220" spans="1:17" x14ac:dyDescent="0.25">
      <c r="A220" s="1">
        <v>219</v>
      </c>
      <c r="B220" s="3" t="s">
        <v>158</v>
      </c>
      <c r="C220" s="5" t="s">
        <v>7</v>
      </c>
      <c r="Q220">
        <f t="shared" si="3"/>
        <v>0</v>
      </c>
    </row>
    <row r="221" spans="1:17" x14ac:dyDescent="0.25">
      <c r="A221" s="1">
        <v>220</v>
      </c>
      <c r="B221" s="3" t="s">
        <v>159</v>
      </c>
      <c r="C221" s="5" t="s">
        <v>7</v>
      </c>
      <c r="Q221">
        <f t="shared" si="3"/>
        <v>0</v>
      </c>
    </row>
    <row r="222" spans="1:17" x14ac:dyDescent="0.25">
      <c r="A222" s="1">
        <v>221</v>
      </c>
      <c r="B222" s="3" t="s">
        <v>135</v>
      </c>
      <c r="C222" s="5" t="s">
        <v>7</v>
      </c>
      <c r="Q222">
        <f t="shared" si="3"/>
        <v>0</v>
      </c>
    </row>
    <row r="223" spans="1:17" x14ac:dyDescent="0.25">
      <c r="A223" s="1">
        <v>222</v>
      </c>
      <c r="B223" s="3" t="s">
        <v>135</v>
      </c>
      <c r="C223" s="5" t="s">
        <v>7</v>
      </c>
      <c r="Q223">
        <f t="shared" si="3"/>
        <v>0</v>
      </c>
    </row>
    <row r="224" spans="1:17" x14ac:dyDescent="0.25">
      <c r="A224" s="1">
        <v>223</v>
      </c>
      <c r="B224" s="3" t="s">
        <v>161</v>
      </c>
      <c r="C224" s="5" t="s">
        <v>7</v>
      </c>
      <c r="Q224">
        <f t="shared" si="3"/>
        <v>0</v>
      </c>
    </row>
    <row r="225" spans="1:17" x14ac:dyDescent="0.25">
      <c r="A225" s="1">
        <v>224</v>
      </c>
      <c r="B225" s="3" t="s">
        <v>162</v>
      </c>
      <c r="C225" s="5" t="s">
        <v>7</v>
      </c>
      <c r="Q225">
        <f t="shared" si="3"/>
        <v>0</v>
      </c>
    </row>
    <row r="226" spans="1:17" x14ac:dyDescent="0.25">
      <c r="A226" s="1">
        <v>225</v>
      </c>
      <c r="B226" s="3" t="s">
        <v>136</v>
      </c>
      <c r="C226" s="5" t="s">
        <v>7</v>
      </c>
      <c r="Q226">
        <f t="shared" si="3"/>
        <v>0</v>
      </c>
    </row>
    <row r="227" spans="1:17" x14ac:dyDescent="0.25">
      <c r="A227" s="1">
        <v>226</v>
      </c>
      <c r="B227" s="3" t="s">
        <v>136</v>
      </c>
      <c r="C227" s="5" t="s">
        <v>7</v>
      </c>
      <c r="Q227">
        <f t="shared" si="3"/>
        <v>0</v>
      </c>
    </row>
    <row r="228" spans="1:17" x14ac:dyDescent="0.25">
      <c r="A228" s="1">
        <v>227</v>
      </c>
      <c r="B228" s="3" t="s">
        <v>134</v>
      </c>
      <c r="C228" s="5" t="s">
        <v>7</v>
      </c>
      <c r="Q228">
        <f t="shared" si="3"/>
        <v>0</v>
      </c>
    </row>
    <row r="229" spans="1:17" x14ac:dyDescent="0.25">
      <c r="A229" s="1">
        <v>228</v>
      </c>
      <c r="B229" s="3" t="s">
        <v>134</v>
      </c>
      <c r="C229" s="5" t="s">
        <v>7</v>
      </c>
      <c r="Q229">
        <f t="shared" si="3"/>
        <v>0</v>
      </c>
    </row>
    <row r="230" spans="1:17" x14ac:dyDescent="0.25">
      <c r="A230" s="1">
        <v>229</v>
      </c>
      <c r="B230" s="3" t="s">
        <v>133</v>
      </c>
      <c r="C230" s="5" t="s">
        <v>7</v>
      </c>
      <c r="Q230">
        <f t="shared" si="3"/>
        <v>0</v>
      </c>
    </row>
    <row r="231" spans="1:17" x14ac:dyDescent="0.25">
      <c r="A231" s="1">
        <v>230</v>
      </c>
      <c r="B231" s="3" t="s">
        <v>133</v>
      </c>
      <c r="C231" s="5" t="s">
        <v>7</v>
      </c>
      <c r="Q231">
        <f t="shared" si="3"/>
        <v>0</v>
      </c>
    </row>
    <row r="232" spans="1:17" x14ac:dyDescent="0.25">
      <c r="A232" s="1">
        <v>231</v>
      </c>
      <c r="B232" s="3" t="s">
        <v>157</v>
      </c>
      <c r="C232" s="5" t="s">
        <v>7</v>
      </c>
      <c r="Q232">
        <f t="shared" si="3"/>
        <v>0</v>
      </c>
    </row>
    <row r="233" spans="1:17" x14ac:dyDescent="0.25">
      <c r="A233" s="1">
        <v>232</v>
      </c>
      <c r="B233" s="3" t="s">
        <v>284</v>
      </c>
      <c r="C233" s="3" t="s">
        <v>7</v>
      </c>
      <c r="Q233">
        <f t="shared" si="3"/>
        <v>0</v>
      </c>
    </row>
    <row r="234" spans="1:17" x14ac:dyDescent="0.25">
      <c r="A234" s="1">
        <v>233</v>
      </c>
      <c r="B234" s="3" t="s">
        <v>291</v>
      </c>
      <c r="C234" s="3" t="s">
        <v>7</v>
      </c>
      <c r="Q234">
        <f t="shared" si="3"/>
        <v>0</v>
      </c>
    </row>
    <row r="235" spans="1:17" x14ac:dyDescent="0.25">
      <c r="A235" s="1">
        <v>234</v>
      </c>
      <c r="B235" s="3" t="s">
        <v>287</v>
      </c>
      <c r="C235" s="3" t="s">
        <v>7</v>
      </c>
      <c r="Q235">
        <f t="shared" si="3"/>
        <v>0</v>
      </c>
    </row>
    <row r="236" spans="1:17" x14ac:dyDescent="0.25">
      <c r="A236" s="1">
        <v>235</v>
      </c>
      <c r="B236" s="3" t="s">
        <v>360</v>
      </c>
      <c r="C236" s="3" t="s">
        <v>7</v>
      </c>
      <c r="Q236">
        <f t="shared" si="3"/>
        <v>0</v>
      </c>
    </row>
    <row r="237" spans="1:17" x14ac:dyDescent="0.25">
      <c r="A237" s="1">
        <v>236</v>
      </c>
      <c r="B237" s="3" t="s">
        <v>183</v>
      </c>
      <c r="C237" s="3" t="s">
        <v>7</v>
      </c>
      <c r="Q237">
        <f t="shared" si="3"/>
        <v>0</v>
      </c>
    </row>
    <row r="238" spans="1:17" x14ac:dyDescent="0.25">
      <c r="A238" s="1">
        <v>237</v>
      </c>
      <c r="C238" s="3" t="s">
        <v>7</v>
      </c>
      <c r="D238" s="4"/>
      <c r="Q238">
        <f t="shared" si="3"/>
        <v>0</v>
      </c>
    </row>
    <row r="239" spans="1:17" x14ac:dyDescent="0.25">
      <c r="A239" s="1">
        <v>238</v>
      </c>
      <c r="B239" s="3" t="s">
        <v>357</v>
      </c>
      <c r="C239" s="3" t="s">
        <v>7</v>
      </c>
      <c r="Q239">
        <f t="shared" si="3"/>
        <v>0</v>
      </c>
    </row>
    <row r="240" spans="1:17" x14ac:dyDescent="0.25">
      <c r="A240" s="1">
        <v>239</v>
      </c>
      <c r="B240" s="3" t="s">
        <v>355</v>
      </c>
      <c r="C240" s="3" t="s">
        <v>7</v>
      </c>
      <c r="Q240">
        <f t="shared" si="3"/>
        <v>0</v>
      </c>
    </row>
    <row r="241" spans="1:17" x14ac:dyDescent="0.25">
      <c r="A241" s="1">
        <v>240</v>
      </c>
      <c r="B241" s="3" t="s">
        <v>358</v>
      </c>
      <c r="C241" s="3" t="s">
        <v>7</v>
      </c>
      <c r="Q241">
        <f t="shared" si="3"/>
        <v>0</v>
      </c>
    </row>
    <row r="242" spans="1:17" x14ac:dyDescent="0.25">
      <c r="A242" s="1">
        <v>241</v>
      </c>
      <c r="B242" s="3" t="s">
        <v>356</v>
      </c>
      <c r="C242" s="3" t="s">
        <v>7</v>
      </c>
      <c r="Q242">
        <f t="shared" si="3"/>
        <v>0</v>
      </c>
    </row>
    <row r="243" spans="1:17" x14ac:dyDescent="0.25">
      <c r="A243" s="1">
        <v>242</v>
      </c>
      <c r="B243" s="6" t="s">
        <v>12</v>
      </c>
      <c r="C243" s="5" t="s">
        <v>7</v>
      </c>
      <c r="Q243">
        <f t="shared" si="3"/>
        <v>0</v>
      </c>
    </row>
    <row r="244" spans="1:17" x14ac:dyDescent="0.25">
      <c r="A244" s="1">
        <v>243</v>
      </c>
      <c r="B244" s="6" t="s">
        <v>15</v>
      </c>
      <c r="C244" s="5" t="s">
        <v>7</v>
      </c>
      <c r="Q244">
        <f t="shared" si="3"/>
        <v>0</v>
      </c>
    </row>
    <row r="245" spans="1:17" x14ac:dyDescent="0.25">
      <c r="A245" s="1">
        <v>244</v>
      </c>
      <c r="B245" s="6" t="s">
        <v>11</v>
      </c>
      <c r="C245" s="5" t="s">
        <v>7</v>
      </c>
      <c r="Q245">
        <f t="shared" si="3"/>
        <v>0</v>
      </c>
    </row>
    <row r="246" spans="1:17" x14ac:dyDescent="0.25">
      <c r="A246" s="1">
        <v>245</v>
      </c>
      <c r="B246" s="3" t="s">
        <v>89</v>
      </c>
      <c r="C246" s="5" t="s">
        <v>7</v>
      </c>
      <c r="Q246">
        <f t="shared" si="3"/>
        <v>0</v>
      </c>
    </row>
    <row r="247" spans="1:17" x14ac:dyDescent="0.25">
      <c r="A247" s="1">
        <v>246</v>
      </c>
      <c r="B247" s="3" t="s">
        <v>87</v>
      </c>
      <c r="C247" s="5" t="s">
        <v>7</v>
      </c>
      <c r="Q247">
        <f t="shared" si="3"/>
        <v>0</v>
      </c>
    </row>
    <row r="248" spans="1:17" x14ac:dyDescent="0.25">
      <c r="A248" s="1">
        <v>247</v>
      </c>
      <c r="B248" s="3" t="s">
        <v>86</v>
      </c>
      <c r="C248" s="5" t="s">
        <v>7</v>
      </c>
      <c r="Q248">
        <f t="shared" si="3"/>
        <v>0</v>
      </c>
    </row>
    <row r="249" spans="1:17" x14ac:dyDescent="0.25">
      <c r="A249" s="1">
        <v>248</v>
      </c>
      <c r="B249" s="3" t="s">
        <v>277</v>
      </c>
      <c r="C249" s="3" t="s">
        <v>7</v>
      </c>
      <c r="Q249">
        <f t="shared" si="3"/>
        <v>0</v>
      </c>
    </row>
    <row r="250" spans="1:17" x14ac:dyDescent="0.25">
      <c r="A250" s="1">
        <v>249</v>
      </c>
      <c r="B250" s="3" t="s">
        <v>269</v>
      </c>
      <c r="C250" s="3" t="s">
        <v>7</v>
      </c>
      <c r="Q250">
        <f t="shared" si="3"/>
        <v>0</v>
      </c>
    </row>
    <row r="251" spans="1:17" x14ac:dyDescent="0.25">
      <c r="A251" s="1">
        <v>250</v>
      </c>
      <c r="B251" s="3" t="s">
        <v>263</v>
      </c>
      <c r="C251" s="3" t="s">
        <v>7</v>
      </c>
      <c r="E251">
        <v>2</v>
      </c>
      <c r="Q251">
        <f t="shared" si="3"/>
        <v>2</v>
      </c>
    </row>
    <row r="252" spans="1:17" x14ac:dyDescent="0.25">
      <c r="A252" s="1">
        <v>251</v>
      </c>
      <c r="B252" s="3" t="s">
        <v>309</v>
      </c>
      <c r="C252" s="3" t="s">
        <v>7</v>
      </c>
      <c r="Q252">
        <f t="shared" si="3"/>
        <v>0</v>
      </c>
    </row>
    <row r="253" spans="1:17" x14ac:dyDescent="0.25">
      <c r="A253" s="1">
        <v>252</v>
      </c>
      <c r="B253" s="3" t="s">
        <v>313</v>
      </c>
      <c r="C253" s="3" t="s">
        <v>7</v>
      </c>
      <c r="Q253">
        <f t="shared" si="3"/>
        <v>0</v>
      </c>
    </row>
    <row r="254" spans="1:17" x14ac:dyDescent="0.25">
      <c r="A254" s="1">
        <v>253</v>
      </c>
      <c r="B254" s="3" t="s">
        <v>315</v>
      </c>
      <c r="C254" s="3" t="s">
        <v>7</v>
      </c>
      <c r="Q254">
        <f t="shared" si="3"/>
        <v>0</v>
      </c>
    </row>
    <row r="255" spans="1:17" x14ac:dyDescent="0.25">
      <c r="A255" s="1">
        <v>254</v>
      </c>
      <c r="B255" s="3" t="s">
        <v>311</v>
      </c>
      <c r="C255" s="3" t="s">
        <v>7</v>
      </c>
      <c r="Q255">
        <f t="shared" si="3"/>
        <v>0</v>
      </c>
    </row>
    <row r="256" spans="1:17" x14ac:dyDescent="0.25">
      <c r="A256" s="1">
        <v>255</v>
      </c>
      <c r="B256" s="3" t="s">
        <v>314</v>
      </c>
      <c r="C256" s="3" t="s">
        <v>7</v>
      </c>
      <c r="Q256">
        <f t="shared" si="3"/>
        <v>0</v>
      </c>
    </row>
    <row r="257" spans="1:17" x14ac:dyDescent="0.25">
      <c r="A257" s="1">
        <v>256</v>
      </c>
      <c r="B257" s="3" t="s">
        <v>321</v>
      </c>
      <c r="C257" s="3" t="s">
        <v>7</v>
      </c>
      <c r="Q257">
        <f t="shared" si="3"/>
        <v>0</v>
      </c>
    </row>
    <row r="258" spans="1:17" x14ac:dyDescent="0.25">
      <c r="A258" s="1">
        <v>257</v>
      </c>
      <c r="B258" s="3" t="s">
        <v>310</v>
      </c>
      <c r="C258" s="3" t="s">
        <v>7</v>
      </c>
      <c r="Q258">
        <f t="shared" ref="Q258:Q321" si="4">SUM(D258:P258)</f>
        <v>0</v>
      </c>
    </row>
    <row r="259" spans="1:17" x14ac:dyDescent="0.25">
      <c r="A259" s="1">
        <v>258</v>
      </c>
      <c r="B259" s="3" t="s">
        <v>322</v>
      </c>
      <c r="C259" s="3" t="s">
        <v>7</v>
      </c>
      <c r="Q259">
        <f t="shared" si="4"/>
        <v>0</v>
      </c>
    </row>
    <row r="260" spans="1:17" x14ac:dyDescent="0.25">
      <c r="A260" s="1">
        <v>259</v>
      </c>
      <c r="B260" s="3" t="s">
        <v>312</v>
      </c>
      <c r="C260" s="3" t="s">
        <v>7</v>
      </c>
      <c r="Q260">
        <f t="shared" si="4"/>
        <v>0</v>
      </c>
    </row>
    <row r="261" spans="1:17" x14ac:dyDescent="0.25">
      <c r="A261" s="1">
        <v>260</v>
      </c>
      <c r="B261" s="3" t="s">
        <v>319</v>
      </c>
      <c r="C261" s="3" t="s">
        <v>7</v>
      </c>
      <c r="Q261">
        <f t="shared" si="4"/>
        <v>0</v>
      </c>
    </row>
    <row r="262" spans="1:17" x14ac:dyDescent="0.25">
      <c r="A262" s="1">
        <v>261</v>
      </c>
      <c r="B262" s="3" t="s">
        <v>320</v>
      </c>
      <c r="C262" s="3" t="s">
        <v>7</v>
      </c>
      <c r="Q262">
        <f t="shared" si="4"/>
        <v>0</v>
      </c>
    </row>
    <row r="263" spans="1:17" x14ac:dyDescent="0.25">
      <c r="A263" s="1">
        <v>262</v>
      </c>
      <c r="B263" s="3" t="s">
        <v>384</v>
      </c>
      <c r="C263" s="3" t="s">
        <v>7</v>
      </c>
      <c r="Q263">
        <f t="shared" si="4"/>
        <v>0</v>
      </c>
    </row>
    <row r="264" spans="1:17" x14ac:dyDescent="0.25">
      <c r="A264" s="1">
        <v>263</v>
      </c>
      <c r="B264" s="3" t="s">
        <v>275</v>
      </c>
      <c r="C264" s="3" t="s">
        <v>7</v>
      </c>
      <c r="Q264">
        <f t="shared" si="4"/>
        <v>0</v>
      </c>
    </row>
    <row r="265" spans="1:17" x14ac:dyDescent="0.25">
      <c r="A265" s="1">
        <v>264</v>
      </c>
      <c r="B265" s="3" t="s">
        <v>374</v>
      </c>
      <c r="C265" s="5" t="s">
        <v>7</v>
      </c>
      <c r="D265">
        <v>2</v>
      </c>
      <c r="Q265">
        <f t="shared" si="4"/>
        <v>2</v>
      </c>
    </row>
    <row r="266" spans="1:17" x14ac:dyDescent="0.25">
      <c r="A266" s="1">
        <v>265</v>
      </c>
      <c r="B266" s="3" t="s">
        <v>259</v>
      </c>
      <c r="C266" s="3" t="s">
        <v>7</v>
      </c>
      <c r="Q266">
        <f t="shared" si="4"/>
        <v>0</v>
      </c>
    </row>
    <row r="267" spans="1:17" x14ac:dyDescent="0.25">
      <c r="A267" s="1">
        <v>266</v>
      </c>
      <c r="B267" s="3" t="s">
        <v>323</v>
      </c>
      <c r="C267" s="3" t="s">
        <v>7</v>
      </c>
      <c r="Q267">
        <f t="shared" si="4"/>
        <v>0</v>
      </c>
    </row>
    <row r="268" spans="1:17" x14ac:dyDescent="0.25">
      <c r="A268" s="1">
        <v>267</v>
      </c>
      <c r="B268" s="3" t="s">
        <v>257</v>
      </c>
      <c r="C268" s="3" t="s">
        <v>7</v>
      </c>
      <c r="Q268">
        <f t="shared" si="4"/>
        <v>0</v>
      </c>
    </row>
    <row r="269" spans="1:17" x14ac:dyDescent="0.25">
      <c r="A269" s="1">
        <v>268</v>
      </c>
      <c r="B269" s="3" t="s">
        <v>261</v>
      </c>
      <c r="C269" s="3" t="s">
        <v>7</v>
      </c>
      <c r="Q269">
        <f t="shared" si="4"/>
        <v>0</v>
      </c>
    </row>
    <row r="270" spans="1:17" x14ac:dyDescent="0.25">
      <c r="A270" s="1">
        <v>269</v>
      </c>
      <c r="B270" s="3" t="s">
        <v>262</v>
      </c>
      <c r="C270" s="3" t="s">
        <v>7</v>
      </c>
      <c r="Q270">
        <f t="shared" si="4"/>
        <v>0</v>
      </c>
    </row>
    <row r="271" spans="1:17" x14ac:dyDescent="0.25">
      <c r="A271" s="1">
        <v>270</v>
      </c>
      <c r="B271" s="3" t="s">
        <v>260</v>
      </c>
      <c r="C271" s="3" t="s">
        <v>7</v>
      </c>
      <c r="Q271">
        <f t="shared" si="4"/>
        <v>0</v>
      </c>
    </row>
    <row r="272" spans="1:17" x14ac:dyDescent="0.25">
      <c r="A272" s="1">
        <v>271</v>
      </c>
      <c r="B272" s="3" t="s">
        <v>258</v>
      </c>
      <c r="C272" s="3" t="s">
        <v>7</v>
      </c>
      <c r="Q272">
        <f t="shared" si="4"/>
        <v>0</v>
      </c>
    </row>
    <row r="273" spans="1:17" x14ac:dyDescent="0.25">
      <c r="A273" s="1">
        <v>272</v>
      </c>
      <c r="C273" s="3" t="s">
        <v>7</v>
      </c>
      <c r="D273" s="4"/>
      <c r="Q273">
        <f t="shared" si="4"/>
        <v>0</v>
      </c>
    </row>
    <row r="274" spans="1:17" x14ac:dyDescent="0.25">
      <c r="A274" s="1">
        <v>273</v>
      </c>
      <c r="B274" s="3" t="s">
        <v>231</v>
      </c>
      <c r="C274" s="3" t="s">
        <v>7</v>
      </c>
      <c r="Q274">
        <f t="shared" si="4"/>
        <v>0</v>
      </c>
    </row>
    <row r="275" spans="1:17" x14ac:dyDescent="0.25">
      <c r="A275" s="1">
        <v>274</v>
      </c>
      <c r="C275" s="3" t="s">
        <v>7</v>
      </c>
      <c r="D275" s="4"/>
      <c r="Q275">
        <f t="shared" si="4"/>
        <v>0</v>
      </c>
    </row>
    <row r="276" spans="1:17" x14ac:dyDescent="0.25">
      <c r="A276" s="1">
        <v>275</v>
      </c>
      <c r="C276" s="3" t="s">
        <v>7</v>
      </c>
      <c r="D276" s="4"/>
      <c r="Q276">
        <f t="shared" si="4"/>
        <v>0</v>
      </c>
    </row>
    <row r="277" spans="1:17" x14ac:dyDescent="0.25">
      <c r="A277" s="1">
        <v>276</v>
      </c>
      <c r="B277" s="3" t="s">
        <v>282</v>
      </c>
      <c r="C277" s="3" t="s">
        <v>7</v>
      </c>
      <c r="Q277">
        <f t="shared" si="4"/>
        <v>0</v>
      </c>
    </row>
    <row r="278" spans="1:17" x14ac:dyDescent="0.25">
      <c r="A278" s="1">
        <v>277</v>
      </c>
      <c r="B278" s="3" t="s">
        <v>105</v>
      </c>
      <c r="C278" s="5" t="s">
        <v>7</v>
      </c>
      <c r="Q278">
        <f t="shared" si="4"/>
        <v>0</v>
      </c>
    </row>
    <row r="279" spans="1:17" x14ac:dyDescent="0.25">
      <c r="A279" s="1">
        <v>278</v>
      </c>
      <c r="B279" s="3" t="s">
        <v>106</v>
      </c>
      <c r="C279" s="5" t="s">
        <v>7</v>
      </c>
      <c r="Q279">
        <f t="shared" si="4"/>
        <v>0</v>
      </c>
    </row>
    <row r="280" spans="1:17" x14ac:dyDescent="0.25">
      <c r="A280" s="1">
        <v>279</v>
      </c>
      <c r="B280" s="3" t="s">
        <v>104</v>
      </c>
      <c r="C280" s="5" t="s">
        <v>7</v>
      </c>
      <c r="Q280">
        <f t="shared" si="4"/>
        <v>0</v>
      </c>
    </row>
    <row r="281" spans="1:17" x14ac:dyDescent="0.25">
      <c r="A281" s="1">
        <v>280</v>
      </c>
      <c r="B281" s="3" t="s">
        <v>359</v>
      </c>
      <c r="C281" s="3" t="s">
        <v>7</v>
      </c>
      <c r="Q281">
        <f t="shared" si="4"/>
        <v>0</v>
      </c>
    </row>
    <row r="282" spans="1:17" x14ac:dyDescent="0.25">
      <c r="A282" s="1">
        <v>281</v>
      </c>
      <c r="B282" s="3" t="s">
        <v>176</v>
      </c>
      <c r="C282" s="3" t="s">
        <v>7</v>
      </c>
      <c r="Q282">
        <f t="shared" si="4"/>
        <v>0</v>
      </c>
    </row>
    <row r="283" spans="1:17" x14ac:dyDescent="0.25">
      <c r="A283" s="1">
        <v>282</v>
      </c>
      <c r="B283" s="3" t="s">
        <v>350</v>
      </c>
      <c r="C283" s="3" t="s">
        <v>7</v>
      </c>
      <c r="Q283">
        <f t="shared" si="4"/>
        <v>0</v>
      </c>
    </row>
    <row r="284" spans="1:17" x14ac:dyDescent="0.25">
      <c r="A284" s="1">
        <v>283</v>
      </c>
      <c r="B284" s="3" t="s">
        <v>9</v>
      </c>
      <c r="C284" s="5" t="s">
        <v>7</v>
      </c>
      <c r="D284">
        <v>2</v>
      </c>
      <c r="Q284">
        <f t="shared" si="4"/>
        <v>2</v>
      </c>
    </row>
    <row r="285" spans="1:17" x14ac:dyDescent="0.25">
      <c r="A285" s="1">
        <v>284</v>
      </c>
      <c r="B285" s="3" t="s">
        <v>10</v>
      </c>
      <c r="C285" s="5" t="s">
        <v>7</v>
      </c>
      <c r="Q285">
        <f t="shared" si="4"/>
        <v>0</v>
      </c>
    </row>
    <row r="286" spans="1:17" x14ac:dyDescent="0.25">
      <c r="A286" s="1">
        <v>285</v>
      </c>
      <c r="B286" s="3" t="s">
        <v>298</v>
      </c>
      <c r="C286" s="3" t="s">
        <v>7</v>
      </c>
      <c r="Q286">
        <f t="shared" si="4"/>
        <v>0</v>
      </c>
    </row>
    <row r="287" spans="1:17" x14ac:dyDescent="0.25">
      <c r="A287" s="1">
        <v>286</v>
      </c>
      <c r="B287" s="3" t="s">
        <v>297</v>
      </c>
      <c r="C287" s="3" t="s">
        <v>7</v>
      </c>
      <c r="Q287">
        <f t="shared" si="4"/>
        <v>0</v>
      </c>
    </row>
    <row r="288" spans="1:17" x14ac:dyDescent="0.25">
      <c r="A288" s="1">
        <v>287</v>
      </c>
      <c r="B288" s="3" t="s">
        <v>324</v>
      </c>
      <c r="C288" s="3" t="s">
        <v>7</v>
      </c>
      <c r="Q288">
        <f t="shared" si="4"/>
        <v>0</v>
      </c>
    </row>
    <row r="289" spans="1:17" x14ac:dyDescent="0.25">
      <c r="A289" s="1">
        <v>288</v>
      </c>
      <c r="B289" s="3" t="s">
        <v>296</v>
      </c>
      <c r="C289" s="3" t="s">
        <v>7</v>
      </c>
      <c r="Q289">
        <f t="shared" si="4"/>
        <v>0</v>
      </c>
    </row>
    <row r="290" spans="1:17" x14ac:dyDescent="0.25">
      <c r="A290" s="1">
        <v>289</v>
      </c>
      <c r="B290" s="3" t="s">
        <v>185</v>
      </c>
      <c r="C290" s="3" t="s">
        <v>7</v>
      </c>
      <c r="Q290">
        <f t="shared" si="4"/>
        <v>0</v>
      </c>
    </row>
    <row r="291" spans="1:17" x14ac:dyDescent="0.25">
      <c r="A291" s="1">
        <v>290</v>
      </c>
      <c r="B291" s="3" t="s">
        <v>184</v>
      </c>
      <c r="C291" s="3" t="s">
        <v>7</v>
      </c>
      <c r="Q291">
        <f t="shared" si="4"/>
        <v>0</v>
      </c>
    </row>
    <row r="292" spans="1:17" x14ac:dyDescent="0.25">
      <c r="A292" s="1">
        <v>291</v>
      </c>
      <c r="B292" s="3" t="s">
        <v>186</v>
      </c>
      <c r="C292" s="3" t="s">
        <v>7</v>
      </c>
      <c r="Q292">
        <f t="shared" si="4"/>
        <v>0</v>
      </c>
    </row>
    <row r="293" spans="1:17" x14ac:dyDescent="0.25">
      <c r="A293" s="1">
        <v>292</v>
      </c>
      <c r="B293" s="3" t="s">
        <v>385</v>
      </c>
      <c r="C293" s="3" t="s">
        <v>7</v>
      </c>
      <c r="Q293">
        <f t="shared" si="4"/>
        <v>0</v>
      </c>
    </row>
    <row r="294" spans="1:17" x14ac:dyDescent="0.25">
      <c r="A294" s="1">
        <v>293</v>
      </c>
      <c r="B294" s="3" t="s">
        <v>217</v>
      </c>
      <c r="C294" s="3" t="s">
        <v>7</v>
      </c>
      <c r="Q294">
        <f t="shared" si="4"/>
        <v>0</v>
      </c>
    </row>
    <row r="295" spans="1:17" x14ac:dyDescent="0.25">
      <c r="A295" s="1">
        <v>294</v>
      </c>
      <c r="B295" s="3" t="s">
        <v>216</v>
      </c>
      <c r="C295" s="3" t="s">
        <v>7</v>
      </c>
      <c r="Q295">
        <f t="shared" si="4"/>
        <v>0</v>
      </c>
    </row>
    <row r="296" spans="1:17" x14ac:dyDescent="0.25">
      <c r="A296" s="1">
        <v>295</v>
      </c>
      <c r="B296" s="3" t="s">
        <v>93</v>
      </c>
      <c r="C296" s="5" t="s">
        <v>7</v>
      </c>
      <c r="Q296">
        <f t="shared" si="4"/>
        <v>0</v>
      </c>
    </row>
    <row r="297" spans="1:17" x14ac:dyDescent="0.25">
      <c r="A297" s="1">
        <v>296</v>
      </c>
      <c r="B297" s="3" t="s">
        <v>88</v>
      </c>
      <c r="C297" s="5" t="s">
        <v>7</v>
      </c>
      <c r="Q297">
        <f t="shared" si="4"/>
        <v>0</v>
      </c>
    </row>
    <row r="298" spans="1:17" x14ac:dyDescent="0.25">
      <c r="A298" s="1">
        <v>297</v>
      </c>
      <c r="B298" s="3" t="s">
        <v>391</v>
      </c>
      <c r="C298" s="5" t="s">
        <v>7</v>
      </c>
      <c r="Q298">
        <f t="shared" si="4"/>
        <v>0</v>
      </c>
    </row>
    <row r="299" spans="1:17" x14ac:dyDescent="0.25">
      <c r="A299" s="1">
        <v>298</v>
      </c>
      <c r="B299" s="3" t="s">
        <v>108</v>
      </c>
      <c r="C299" s="5" t="s">
        <v>7</v>
      </c>
      <c r="Q299">
        <f t="shared" si="4"/>
        <v>0</v>
      </c>
    </row>
    <row r="300" spans="1:17" x14ac:dyDescent="0.25">
      <c r="A300" s="1">
        <v>299</v>
      </c>
      <c r="B300" s="3" t="s">
        <v>115</v>
      </c>
      <c r="C300" s="5" t="s">
        <v>7</v>
      </c>
      <c r="Q300">
        <f t="shared" si="4"/>
        <v>0</v>
      </c>
    </row>
    <row r="301" spans="1:17" x14ac:dyDescent="0.25">
      <c r="A301" s="1">
        <v>300</v>
      </c>
      <c r="B301" s="3" t="s">
        <v>113</v>
      </c>
      <c r="C301" s="5" t="s">
        <v>7</v>
      </c>
      <c r="Q301">
        <f t="shared" si="4"/>
        <v>0</v>
      </c>
    </row>
    <row r="302" spans="1:17" x14ac:dyDescent="0.25">
      <c r="A302" s="1">
        <v>301</v>
      </c>
      <c r="B302" s="3" t="s">
        <v>114</v>
      </c>
      <c r="C302" s="5" t="s">
        <v>7</v>
      </c>
      <c r="Q302">
        <f t="shared" si="4"/>
        <v>0</v>
      </c>
    </row>
    <row r="303" spans="1:17" x14ac:dyDescent="0.25">
      <c r="A303" s="1">
        <v>302</v>
      </c>
      <c r="B303" s="3" t="s">
        <v>109</v>
      </c>
      <c r="C303" s="5" t="s">
        <v>7</v>
      </c>
      <c r="Q303">
        <f t="shared" si="4"/>
        <v>0</v>
      </c>
    </row>
    <row r="304" spans="1:17" x14ac:dyDescent="0.25">
      <c r="A304" s="1">
        <v>303</v>
      </c>
      <c r="B304" s="3" t="s">
        <v>174</v>
      </c>
      <c r="C304" s="5" t="s">
        <v>7</v>
      </c>
      <c r="D304">
        <v>4</v>
      </c>
      <c r="Q304">
        <f t="shared" si="4"/>
        <v>4</v>
      </c>
    </row>
    <row r="305" spans="1:17" x14ac:dyDescent="0.25">
      <c r="A305" s="1">
        <v>304</v>
      </c>
      <c r="B305" s="3" t="s">
        <v>24</v>
      </c>
      <c r="C305" s="5" t="s">
        <v>7</v>
      </c>
      <c r="Q305">
        <f t="shared" si="4"/>
        <v>0</v>
      </c>
    </row>
    <row r="306" spans="1:17" x14ac:dyDescent="0.25">
      <c r="A306" s="1">
        <v>305</v>
      </c>
      <c r="B306" s="3" t="s">
        <v>202</v>
      </c>
      <c r="C306" s="3" t="s">
        <v>7</v>
      </c>
      <c r="Q306">
        <f t="shared" si="4"/>
        <v>0</v>
      </c>
    </row>
    <row r="307" spans="1:17" x14ac:dyDescent="0.25">
      <c r="A307" s="1">
        <v>306</v>
      </c>
      <c r="B307" s="3" t="s">
        <v>201</v>
      </c>
      <c r="C307" s="3" t="s">
        <v>7</v>
      </c>
      <c r="Q307">
        <f t="shared" si="4"/>
        <v>0</v>
      </c>
    </row>
    <row r="308" spans="1:17" x14ac:dyDescent="0.25">
      <c r="A308" s="1">
        <v>307</v>
      </c>
      <c r="B308" s="3" t="s">
        <v>223</v>
      </c>
      <c r="C308" s="3" t="s">
        <v>7</v>
      </c>
      <c r="Q308">
        <f t="shared" si="4"/>
        <v>0</v>
      </c>
    </row>
    <row r="309" spans="1:17" x14ac:dyDescent="0.25">
      <c r="A309" s="1">
        <v>308</v>
      </c>
      <c r="B309" s="3" t="s">
        <v>83</v>
      </c>
      <c r="C309" s="5" t="s">
        <v>7</v>
      </c>
      <c r="Q309">
        <f t="shared" si="4"/>
        <v>0</v>
      </c>
    </row>
    <row r="310" spans="1:17" x14ac:dyDescent="0.25">
      <c r="A310" s="1">
        <v>309</v>
      </c>
      <c r="B310" s="3" t="s">
        <v>81</v>
      </c>
      <c r="C310" s="5" t="s">
        <v>7</v>
      </c>
      <c r="Q310">
        <f t="shared" si="4"/>
        <v>0</v>
      </c>
    </row>
    <row r="311" spans="1:17" x14ac:dyDescent="0.25">
      <c r="A311" s="1">
        <v>310</v>
      </c>
      <c r="B311" s="3" t="s">
        <v>82</v>
      </c>
      <c r="C311" s="5" t="s">
        <v>7</v>
      </c>
      <c r="Q311">
        <f t="shared" si="4"/>
        <v>0</v>
      </c>
    </row>
    <row r="312" spans="1:17" x14ac:dyDescent="0.25">
      <c r="A312" s="1">
        <v>311</v>
      </c>
      <c r="B312" s="3" t="s">
        <v>75</v>
      </c>
      <c r="C312" s="5" t="s">
        <v>7</v>
      </c>
      <c r="O312">
        <v>2</v>
      </c>
      <c r="Q312">
        <f t="shared" si="4"/>
        <v>2</v>
      </c>
    </row>
    <row r="313" spans="1:17" x14ac:dyDescent="0.25">
      <c r="A313" s="1">
        <v>312</v>
      </c>
      <c r="B313" s="3" t="s">
        <v>74</v>
      </c>
      <c r="C313" s="5" t="s">
        <v>7</v>
      </c>
      <c r="E313">
        <v>2</v>
      </c>
      <c r="Q313">
        <f t="shared" si="4"/>
        <v>2</v>
      </c>
    </row>
    <row r="314" spans="1:17" x14ac:dyDescent="0.25">
      <c r="A314" s="1">
        <v>313</v>
      </c>
      <c r="B314" s="3" t="s">
        <v>76</v>
      </c>
      <c r="C314" s="5" t="s">
        <v>7</v>
      </c>
      <c r="Q314">
        <f t="shared" si="4"/>
        <v>0</v>
      </c>
    </row>
    <row r="315" spans="1:17" x14ac:dyDescent="0.25">
      <c r="A315" s="1">
        <v>314</v>
      </c>
      <c r="B315" s="3" t="s">
        <v>77</v>
      </c>
      <c r="C315" s="5" t="s">
        <v>7</v>
      </c>
      <c r="Q315">
        <f t="shared" si="4"/>
        <v>0</v>
      </c>
    </row>
    <row r="316" spans="1:17" x14ac:dyDescent="0.25">
      <c r="A316" s="1">
        <v>315</v>
      </c>
      <c r="B316" s="3" t="s">
        <v>78</v>
      </c>
      <c r="C316" s="5" t="s">
        <v>7</v>
      </c>
      <c r="D316">
        <v>1</v>
      </c>
      <c r="F316">
        <v>4</v>
      </c>
      <c r="H316">
        <v>2</v>
      </c>
      <c r="Q316">
        <f t="shared" si="4"/>
        <v>7</v>
      </c>
    </row>
    <row r="317" spans="1:17" x14ac:dyDescent="0.25">
      <c r="A317" s="1">
        <v>316</v>
      </c>
      <c r="B317" s="3" t="s">
        <v>79</v>
      </c>
      <c r="C317" s="5" t="s">
        <v>7</v>
      </c>
      <c r="Q317">
        <f t="shared" si="4"/>
        <v>0</v>
      </c>
    </row>
    <row r="318" spans="1:17" x14ac:dyDescent="0.25">
      <c r="A318" s="1">
        <v>317</v>
      </c>
      <c r="B318" s="3" t="s">
        <v>80</v>
      </c>
      <c r="C318" s="5" t="s">
        <v>7</v>
      </c>
      <c r="F318">
        <v>2</v>
      </c>
      <c r="H318">
        <v>4</v>
      </c>
      <c r="Q318">
        <f t="shared" si="4"/>
        <v>6</v>
      </c>
    </row>
    <row r="319" spans="1:17" x14ac:dyDescent="0.25">
      <c r="A319" s="1">
        <v>318</v>
      </c>
      <c r="B319" s="3" t="s">
        <v>84</v>
      </c>
      <c r="C319" s="5" t="s">
        <v>7</v>
      </c>
      <c r="Q319">
        <f t="shared" si="4"/>
        <v>0</v>
      </c>
    </row>
    <row r="320" spans="1:17" x14ac:dyDescent="0.25">
      <c r="A320" s="1">
        <v>319</v>
      </c>
      <c r="B320" s="3" t="s">
        <v>85</v>
      </c>
      <c r="C320" s="5" t="s">
        <v>7</v>
      </c>
      <c r="Q320">
        <f t="shared" si="4"/>
        <v>0</v>
      </c>
    </row>
    <row r="321" spans="1:17" x14ac:dyDescent="0.25">
      <c r="A321" s="1">
        <v>320</v>
      </c>
      <c r="B321" s="3" t="s">
        <v>330</v>
      </c>
      <c r="C321" s="5" t="s">
        <v>7</v>
      </c>
      <c r="Q321">
        <f t="shared" si="4"/>
        <v>0</v>
      </c>
    </row>
    <row r="322" spans="1:17" x14ac:dyDescent="0.25">
      <c r="A322" s="1">
        <v>321</v>
      </c>
      <c r="B322" s="3" t="s">
        <v>35</v>
      </c>
      <c r="C322" s="5" t="s">
        <v>7</v>
      </c>
      <c r="Q322">
        <f t="shared" ref="Q322:Q385" si="5">SUM(D322:P322)</f>
        <v>0</v>
      </c>
    </row>
    <row r="323" spans="1:17" x14ac:dyDescent="0.25">
      <c r="A323" s="1">
        <v>322</v>
      </c>
      <c r="B323" s="3" t="s">
        <v>37</v>
      </c>
      <c r="C323" s="5" t="s">
        <v>7</v>
      </c>
      <c r="Q323">
        <f t="shared" si="5"/>
        <v>0</v>
      </c>
    </row>
    <row r="324" spans="1:17" x14ac:dyDescent="0.25">
      <c r="A324" s="1">
        <v>323</v>
      </c>
      <c r="B324" s="3" t="s">
        <v>29</v>
      </c>
      <c r="C324" s="5" t="s">
        <v>7</v>
      </c>
      <c r="Q324">
        <f t="shared" si="5"/>
        <v>0</v>
      </c>
    </row>
    <row r="325" spans="1:17" x14ac:dyDescent="0.25">
      <c r="A325" s="1">
        <v>324</v>
      </c>
      <c r="B325" s="3" t="s">
        <v>28</v>
      </c>
      <c r="C325" s="5" t="s">
        <v>7</v>
      </c>
      <c r="Q325">
        <f t="shared" si="5"/>
        <v>0</v>
      </c>
    </row>
    <row r="326" spans="1:17" x14ac:dyDescent="0.25">
      <c r="A326" s="1">
        <v>325</v>
      </c>
      <c r="B326" s="3" t="s">
        <v>30</v>
      </c>
      <c r="C326" s="5" t="s">
        <v>7</v>
      </c>
      <c r="Q326">
        <f t="shared" si="5"/>
        <v>0</v>
      </c>
    </row>
    <row r="327" spans="1:17" x14ac:dyDescent="0.25">
      <c r="A327" s="1">
        <v>326</v>
      </c>
      <c r="B327" s="3" t="s">
        <v>36</v>
      </c>
      <c r="C327" s="5" t="s">
        <v>7</v>
      </c>
      <c r="Q327">
        <f t="shared" si="5"/>
        <v>0</v>
      </c>
    </row>
    <row r="328" spans="1:17" x14ac:dyDescent="0.25">
      <c r="A328" s="1">
        <v>327</v>
      </c>
      <c r="B328" s="3" t="s">
        <v>92</v>
      </c>
      <c r="C328" s="5" t="s">
        <v>7</v>
      </c>
      <c r="Q328">
        <f t="shared" si="5"/>
        <v>0</v>
      </c>
    </row>
    <row r="329" spans="1:17" x14ac:dyDescent="0.25">
      <c r="A329" s="1">
        <v>328</v>
      </c>
      <c r="B329" s="3" t="s">
        <v>23</v>
      </c>
      <c r="C329" s="5" t="s">
        <v>7</v>
      </c>
      <c r="Q329">
        <f t="shared" si="5"/>
        <v>0</v>
      </c>
    </row>
    <row r="330" spans="1:17" x14ac:dyDescent="0.25">
      <c r="A330" s="1">
        <v>329</v>
      </c>
      <c r="B330" s="3" t="s">
        <v>56</v>
      </c>
      <c r="C330" s="5" t="s">
        <v>7</v>
      </c>
      <c r="E330">
        <v>2</v>
      </c>
      <c r="Q330">
        <f t="shared" si="5"/>
        <v>2</v>
      </c>
    </row>
    <row r="331" spans="1:17" x14ac:dyDescent="0.25">
      <c r="A331" s="1">
        <v>330</v>
      </c>
      <c r="B331" s="3" t="s">
        <v>55</v>
      </c>
      <c r="C331" s="5" t="s">
        <v>7</v>
      </c>
      <c r="E331">
        <v>2</v>
      </c>
      <c r="Q331">
        <f t="shared" si="5"/>
        <v>2</v>
      </c>
    </row>
    <row r="332" spans="1:17" x14ac:dyDescent="0.25">
      <c r="A332" s="1">
        <v>331</v>
      </c>
      <c r="B332" s="3" t="s">
        <v>34</v>
      </c>
      <c r="C332" s="5" t="s">
        <v>7</v>
      </c>
      <c r="Q332">
        <f t="shared" si="5"/>
        <v>0</v>
      </c>
    </row>
    <row r="333" spans="1:17" x14ac:dyDescent="0.25">
      <c r="A333" s="1">
        <v>332</v>
      </c>
      <c r="B333" s="3" t="s">
        <v>33</v>
      </c>
      <c r="C333" s="5" t="s">
        <v>7</v>
      </c>
      <c r="Q333">
        <f t="shared" si="5"/>
        <v>0</v>
      </c>
    </row>
    <row r="334" spans="1:17" x14ac:dyDescent="0.25">
      <c r="A334" s="1">
        <v>333</v>
      </c>
      <c r="B334" s="3" t="s">
        <v>58</v>
      </c>
      <c r="C334" s="5" t="s">
        <v>7</v>
      </c>
      <c r="Q334">
        <f t="shared" si="5"/>
        <v>0</v>
      </c>
    </row>
    <row r="335" spans="1:17" x14ac:dyDescent="0.25">
      <c r="A335" s="1">
        <v>334</v>
      </c>
      <c r="B335" s="3" t="s">
        <v>57</v>
      </c>
      <c r="C335" s="5" t="s">
        <v>7</v>
      </c>
      <c r="Q335">
        <f t="shared" si="5"/>
        <v>0</v>
      </c>
    </row>
    <row r="336" spans="1:17" x14ac:dyDescent="0.25">
      <c r="A336" s="1">
        <v>335</v>
      </c>
      <c r="B336" s="3" t="s">
        <v>51</v>
      </c>
      <c r="C336" s="5" t="s">
        <v>7</v>
      </c>
      <c r="Q336">
        <f t="shared" si="5"/>
        <v>0</v>
      </c>
    </row>
    <row r="337" spans="1:17" x14ac:dyDescent="0.25">
      <c r="A337" s="1">
        <v>336</v>
      </c>
      <c r="B337" s="3" t="s">
        <v>52</v>
      </c>
      <c r="C337" s="5" t="s">
        <v>7</v>
      </c>
      <c r="Q337">
        <f t="shared" si="5"/>
        <v>0</v>
      </c>
    </row>
    <row r="338" spans="1:17" x14ac:dyDescent="0.25">
      <c r="A338" s="1">
        <v>337</v>
      </c>
      <c r="B338" s="3" t="s">
        <v>49</v>
      </c>
      <c r="C338" s="5" t="s">
        <v>7</v>
      </c>
      <c r="Q338">
        <f t="shared" si="5"/>
        <v>0</v>
      </c>
    </row>
    <row r="339" spans="1:17" x14ac:dyDescent="0.25">
      <c r="A339" s="1">
        <v>338</v>
      </c>
      <c r="B339" s="3" t="s">
        <v>395</v>
      </c>
      <c r="C339" s="5" t="s">
        <v>7</v>
      </c>
      <c r="G339">
        <v>2</v>
      </c>
      <c r="Q339">
        <f t="shared" si="5"/>
        <v>2</v>
      </c>
    </row>
    <row r="340" spans="1:17" x14ac:dyDescent="0.25">
      <c r="A340" s="1">
        <v>339</v>
      </c>
      <c r="B340" s="3" t="s">
        <v>69</v>
      </c>
      <c r="C340" s="5" t="s">
        <v>7</v>
      </c>
      <c r="Q340">
        <f t="shared" si="5"/>
        <v>0</v>
      </c>
    </row>
    <row r="341" spans="1:17" x14ac:dyDescent="0.25">
      <c r="A341" s="1">
        <v>340</v>
      </c>
      <c r="B341" s="3" t="s">
        <v>71</v>
      </c>
      <c r="C341" s="5" t="s">
        <v>7</v>
      </c>
      <c r="Q341">
        <f t="shared" si="5"/>
        <v>0</v>
      </c>
    </row>
    <row r="342" spans="1:17" x14ac:dyDescent="0.25">
      <c r="A342" s="1">
        <v>341</v>
      </c>
      <c r="B342" s="3" t="s">
        <v>72</v>
      </c>
      <c r="C342" s="5" t="s">
        <v>7</v>
      </c>
      <c r="Q342">
        <f t="shared" si="5"/>
        <v>0</v>
      </c>
    </row>
    <row r="343" spans="1:17" x14ac:dyDescent="0.25">
      <c r="A343" s="1">
        <v>342</v>
      </c>
      <c r="B343" s="3" t="s">
        <v>46</v>
      </c>
      <c r="C343" s="5" t="s">
        <v>7</v>
      </c>
      <c r="Q343">
        <f t="shared" si="5"/>
        <v>0</v>
      </c>
    </row>
    <row r="344" spans="1:17" x14ac:dyDescent="0.25">
      <c r="A344" s="1">
        <v>343</v>
      </c>
      <c r="B344" s="3" t="s">
        <v>47</v>
      </c>
      <c r="C344" s="5" t="s">
        <v>7</v>
      </c>
      <c r="Q344">
        <f t="shared" si="5"/>
        <v>0</v>
      </c>
    </row>
    <row r="345" spans="1:17" x14ac:dyDescent="0.25">
      <c r="A345" s="1">
        <v>344</v>
      </c>
      <c r="B345" s="3" t="s">
        <v>53</v>
      </c>
      <c r="C345" s="5" t="s">
        <v>7</v>
      </c>
      <c r="D345">
        <v>2</v>
      </c>
      <c r="O345">
        <v>2</v>
      </c>
      <c r="Q345">
        <f t="shared" si="5"/>
        <v>4</v>
      </c>
    </row>
    <row r="346" spans="1:17" x14ac:dyDescent="0.25">
      <c r="A346" s="1">
        <v>345</v>
      </c>
      <c r="B346" s="3" t="s">
        <v>59</v>
      </c>
      <c r="C346" s="5" t="s">
        <v>7</v>
      </c>
      <c r="Q346">
        <f t="shared" si="5"/>
        <v>0</v>
      </c>
    </row>
    <row r="347" spans="1:17" x14ac:dyDescent="0.25">
      <c r="A347" s="1">
        <v>346</v>
      </c>
      <c r="B347" s="3" t="s">
        <v>62</v>
      </c>
      <c r="C347" s="5" t="s">
        <v>7</v>
      </c>
      <c r="Q347">
        <f t="shared" si="5"/>
        <v>0</v>
      </c>
    </row>
    <row r="348" spans="1:17" x14ac:dyDescent="0.25">
      <c r="A348" s="1">
        <v>347</v>
      </c>
      <c r="B348" s="3" t="s">
        <v>63</v>
      </c>
      <c r="C348" s="5" t="s">
        <v>7</v>
      </c>
      <c r="Q348">
        <f t="shared" si="5"/>
        <v>0</v>
      </c>
    </row>
    <row r="349" spans="1:17" x14ac:dyDescent="0.25">
      <c r="A349" s="1">
        <v>348</v>
      </c>
      <c r="B349" s="3" t="s">
        <v>64</v>
      </c>
      <c r="C349" s="5" t="s">
        <v>7</v>
      </c>
      <c r="I349">
        <v>10</v>
      </c>
      <c r="N349">
        <v>6</v>
      </c>
      <c r="Q349">
        <f t="shared" si="5"/>
        <v>16</v>
      </c>
    </row>
    <row r="350" spans="1:17" x14ac:dyDescent="0.25">
      <c r="A350" s="1">
        <v>349</v>
      </c>
      <c r="B350" s="3" t="s">
        <v>67</v>
      </c>
      <c r="C350" s="5" t="s">
        <v>7</v>
      </c>
      <c r="Q350">
        <f t="shared" si="5"/>
        <v>0</v>
      </c>
    </row>
    <row r="351" spans="1:17" x14ac:dyDescent="0.25">
      <c r="A351" s="1">
        <v>350</v>
      </c>
      <c r="B351" s="3" t="s">
        <v>73</v>
      </c>
      <c r="C351" s="5" t="s">
        <v>7</v>
      </c>
      <c r="Q351">
        <f t="shared" si="5"/>
        <v>0</v>
      </c>
    </row>
    <row r="352" spans="1:17" x14ac:dyDescent="0.25">
      <c r="A352" s="1">
        <v>351</v>
      </c>
      <c r="B352" s="3" t="s">
        <v>54</v>
      </c>
      <c r="C352" s="5" t="s">
        <v>7</v>
      </c>
      <c r="Q352">
        <f t="shared" si="5"/>
        <v>0</v>
      </c>
    </row>
    <row r="353" spans="1:17" x14ac:dyDescent="0.25">
      <c r="A353" s="1">
        <v>352</v>
      </c>
      <c r="B353" s="3" t="s">
        <v>50</v>
      </c>
      <c r="C353" s="5" t="s">
        <v>7</v>
      </c>
      <c r="Q353">
        <f t="shared" si="5"/>
        <v>0</v>
      </c>
    </row>
    <row r="354" spans="1:17" x14ac:dyDescent="0.25">
      <c r="A354" s="1">
        <v>353</v>
      </c>
      <c r="B354" s="3" t="s">
        <v>61</v>
      </c>
      <c r="C354" s="5" t="s">
        <v>7</v>
      </c>
      <c r="D354">
        <v>2</v>
      </c>
      <c r="K354">
        <v>5</v>
      </c>
      <c r="Q354">
        <f t="shared" si="5"/>
        <v>7</v>
      </c>
    </row>
    <row r="355" spans="1:17" x14ac:dyDescent="0.25">
      <c r="A355" s="1">
        <v>354</v>
      </c>
      <c r="B355" s="3" t="s">
        <v>65</v>
      </c>
      <c r="C355" s="5" t="s">
        <v>7</v>
      </c>
      <c r="Q355">
        <f t="shared" si="5"/>
        <v>0</v>
      </c>
    </row>
    <row r="356" spans="1:17" x14ac:dyDescent="0.25">
      <c r="A356" s="1">
        <v>355</v>
      </c>
      <c r="B356" s="3" t="s">
        <v>66</v>
      </c>
      <c r="C356" s="5" t="s">
        <v>7</v>
      </c>
      <c r="G356">
        <v>6</v>
      </c>
      <c r="Q356">
        <f t="shared" si="5"/>
        <v>6</v>
      </c>
    </row>
    <row r="357" spans="1:17" x14ac:dyDescent="0.25">
      <c r="A357" s="1">
        <v>356</v>
      </c>
      <c r="B357" s="3" t="s">
        <v>68</v>
      </c>
      <c r="C357" s="5" t="s">
        <v>7</v>
      </c>
      <c r="Q357">
        <f t="shared" si="5"/>
        <v>0</v>
      </c>
    </row>
    <row r="358" spans="1:17" x14ac:dyDescent="0.25">
      <c r="A358" s="1">
        <v>357</v>
      </c>
      <c r="B358" s="3" t="s">
        <v>70</v>
      </c>
      <c r="C358" s="5" t="s">
        <v>7</v>
      </c>
      <c r="Q358">
        <f t="shared" si="5"/>
        <v>0</v>
      </c>
    </row>
    <row r="359" spans="1:17" x14ac:dyDescent="0.25">
      <c r="A359" s="1">
        <v>358</v>
      </c>
      <c r="B359" s="3" t="s">
        <v>60</v>
      </c>
      <c r="C359" s="5" t="s">
        <v>7</v>
      </c>
      <c r="Q359">
        <f t="shared" si="5"/>
        <v>0</v>
      </c>
    </row>
    <row r="360" spans="1:17" x14ac:dyDescent="0.25">
      <c r="A360" s="1">
        <v>359</v>
      </c>
      <c r="B360" s="3" t="s">
        <v>48</v>
      </c>
      <c r="C360" s="5" t="s">
        <v>7</v>
      </c>
      <c r="Q360">
        <f t="shared" si="5"/>
        <v>0</v>
      </c>
    </row>
    <row r="361" spans="1:17" x14ac:dyDescent="0.25">
      <c r="A361" s="1">
        <v>360</v>
      </c>
      <c r="B361" s="3" t="s">
        <v>41</v>
      </c>
      <c r="C361" s="5" t="s">
        <v>7</v>
      </c>
      <c r="Q361">
        <f t="shared" si="5"/>
        <v>0</v>
      </c>
    </row>
    <row r="362" spans="1:17" x14ac:dyDescent="0.25">
      <c r="A362" s="1">
        <v>361</v>
      </c>
      <c r="B362" s="3" t="s">
        <v>42</v>
      </c>
      <c r="C362" s="5" t="s">
        <v>7</v>
      </c>
      <c r="Q362">
        <f t="shared" si="5"/>
        <v>0</v>
      </c>
    </row>
    <row r="363" spans="1:17" x14ac:dyDescent="0.25">
      <c r="A363" s="1">
        <v>362</v>
      </c>
      <c r="B363" s="3" t="s">
        <v>40</v>
      </c>
      <c r="C363" s="5" t="s">
        <v>7</v>
      </c>
      <c r="D363">
        <v>2</v>
      </c>
      <c r="Q363">
        <f t="shared" si="5"/>
        <v>2</v>
      </c>
    </row>
    <row r="364" spans="1:17" x14ac:dyDescent="0.25">
      <c r="A364" s="1">
        <v>363</v>
      </c>
      <c r="B364" s="3" t="s">
        <v>39</v>
      </c>
      <c r="C364" s="5" t="s">
        <v>7</v>
      </c>
      <c r="Q364">
        <f t="shared" si="5"/>
        <v>0</v>
      </c>
    </row>
    <row r="365" spans="1:17" x14ac:dyDescent="0.25">
      <c r="A365" s="1">
        <v>364</v>
      </c>
      <c r="B365" s="3" t="s">
        <v>38</v>
      </c>
      <c r="C365" s="5" t="s">
        <v>7</v>
      </c>
      <c r="Q365">
        <f t="shared" si="5"/>
        <v>0</v>
      </c>
    </row>
    <row r="366" spans="1:17" x14ac:dyDescent="0.25">
      <c r="A366" s="1">
        <v>365</v>
      </c>
      <c r="B366" s="3" t="s">
        <v>32</v>
      </c>
      <c r="C366" s="5" t="s">
        <v>7</v>
      </c>
      <c r="Q366">
        <f t="shared" si="5"/>
        <v>0</v>
      </c>
    </row>
    <row r="367" spans="1:17" x14ac:dyDescent="0.25">
      <c r="A367" s="1">
        <v>366</v>
      </c>
      <c r="B367" s="3" t="s">
        <v>168</v>
      </c>
      <c r="C367" s="5" t="s">
        <v>7</v>
      </c>
      <c r="Q367">
        <f t="shared" si="5"/>
        <v>0</v>
      </c>
    </row>
    <row r="368" spans="1:17" x14ac:dyDescent="0.25">
      <c r="A368" s="1">
        <v>367</v>
      </c>
      <c r="B368" s="3" t="s">
        <v>165</v>
      </c>
      <c r="C368" s="5" t="s">
        <v>7</v>
      </c>
      <c r="Q368">
        <f t="shared" si="5"/>
        <v>0</v>
      </c>
    </row>
    <row r="369" spans="1:17" x14ac:dyDescent="0.25">
      <c r="A369" s="1">
        <v>368</v>
      </c>
      <c r="B369" s="3" t="s">
        <v>166</v>
      </c>
      <c r="C369" s="5" t="s">
        <v>7</v>
      </c>
      <c r="Q369">
        <f t="shared" si="5"/>
        <v>0</v>
      </c>
    </row>
    <row r="370" spans="1:17" x14ac:dyDescent="0.25">
      <c r="A370" s="1">
        <v>369</v>
      </c>
      <c r="B370" s="3" t="s">
        <v>164</v>
      </c>
      <c r="C370" s="5" t="s">
        <v>7</v>
      </c>
      <c r="Q370">
        <f t="shared" si="5"/>
        <v>0</v>
      </c>
    </row>
    <row r="371" spans="1:17" x14ac:dyDescent="0.25">
      <c r="A371" s="1">
        <v>370</v>
      </c>
      <c r="B371" s="3" t="s">
        <v>167</v>
      </c>
      <c r="C371" s="5" t="s">
        <v>7</v>
      </c>
      <c r="D371">
        <v>2</v>
      </c>
      <c r="Q371">
        <f t="shared" si="5"/>
        <v>2</v>
      </c>
    </row>
    <row r="372" spans="1:17" x14ac:dyDescent="0.25">
      <c r="A372" s="1">
        <v>371</v>
      </c>
      <c r="B372" s="3" t="s">
        <v>285</v>
      </c>
      <c r="C372" s="3" t="s">
        <v>7</v>
      </c>
      <c r="Q372">
        <f t="shared" si="5"/>
        <v>0</v>
      </c>
    </row>
    <row r="373" spans="1:17" x14ac:dyDescent="0.25">
      <c r="A373" s="1">
        <v>372</v>
      </c>
      <c r="B373" s="3" t="s">
        <v>26</v>
      </c>
      <c r="C373" s="5" t="s">
        <v>7</v>
      </c>
      <c r="Q373">
        <f t="shared" si="5"/>
        <v>0</v>
      </c>
    </row>
    <row r="374" spans="1:17" x14ac:dyDescent="0.25">
      <c r="A374" s="1">
        <v>373</v>
      </c>
      <c r="B374" s="3" t="s">
        <v>301</v>
      </c>
      <c r="C374" s="3" t="s">
        <v>7</v>
      </c>
      <c r="Q374">
        <f t="shared" si="5"/>
        <v>0</v>
      </c>
    </row>
    <row r="375" spans="1:17" x14ac:dyDescent="0.25">
      <c r="A375" s="1">
        <v>374</v>
      </c>
      <c r="B375" s="3" t="s">
        <v>300</v>
      </c>
      <c r="C375" s="3" t="s">
        <v>7</v>
      </c>
      <c r="D375">
        <v>2</v>
      </c>
      <c r="Q375">
        <f t="shared" si="5"/>
        <v>2</v>
      </c>
    </row>
    <row r="376" spans="1:17" x14ac:dyDescent="0.25">
      <c r="A376" s="1">
        <v>375</v>
      </c>
      <c r="B376" s="3" t="s">
        <v>303</v>
      </c>
      <c r="C376" s="3" t="s">
        <v>7</v>
      </c>
      <c r="Q376">
        <f t="shared" si="5"/>
        <v>0</v>
      </c>
    </row>
    <row r="377" spans="1:17" x14ac:dyDescent="0.25">
      <c r="A377" s="1">
        <v>376</v>
      </c>
      <c r="B377" s="3" t="s">
        <v>302</v>
      </c>
      <c r="C377" s="3" t="s">
        <v>7</v>
      </c>
      <c r="Q377">
        <f t="shared" si="5"/>
        <v>0</v>
      </c>
    </row>
    <row r="378" spans="1:17" x14ac:dyDescent="0.25">
      <c r="A378" s="1">
        <v>377</v>
      </c>
      <c r="B378" s="3" t="s">
        <v>305</v>
      </c>
      <c r="C378" s="3" t="s">
        <v>7</v>
      </c>
      <c r="Q378">
        <f t="shared" si="5"/>
        <v>0</v>
      </c>
    </row>
    <row r="379" spans="1:17" x14ac:dyDescent="0.25">
      <c r="A379" s="1">
        <v>378</v>
      </c>
      <c r="B379" s="3" t="s">
        <v>304</v>
      </c>
      <c r="C379" s="3" t="s">
        <v>7</v>
      </c>
      <c r="Q379">
        <f t="shared" si="5"/>
        <v>0</v>
      </c>
    </row>
    <row r="380" spans="1:17" x14ac:dyDescent="0.25">
      <c r="A380" s="1">
        <v>379</v>
      </c>
      <c r="B380" s="3" t="s">
        <v>308</v>
      </c>
      <c r="C380" s="3" t="s">
        <v>7</v>
      </c>
      <c r="Q380">
        <f t="shared" si="5"/>
        <v>0</v>
      </c>
    </row>
    <row r="381" spans="1:17" x14ac:dyDescent="0.25">
      <c r="A381" s="1">
        <v>380</v>
      </c>
      <c r="B381" s="3" t="s">
        <v>307</v>
      </c>
      <c r="C381" s="3" t="s">
        <v>7</v>
      </c>
      <c r="Q381">
        <f t="shared" si="5"/>
        <v>0</v>
      </c>
    </row>
    <row r="382" spans="1:17" x14ac:dyDescent="0.25">
      <c r="A382" s="1">
        <v>381</v>
      </c>
      <c r="B382" s="3" t="s">
        <v>306</v>
      </c>
      <c r="C382" s="3" t="s">
        <v>7</v>
      </c>
      <c r="Q382">
        <f t="shared" si="5"/>
        <v>0</v>
      </c>
    </row>
    <row r="383" spans="1:17" x14ac:dyDescent="0.25">
      <c r="A383" s="1">
        <v>382</v>
      </c>
      <c r="B383" s="3" t="s">
        <v>103</v>
      </c>
      <c r="C383" s="5" t="s">
        <v>7</v>
      </c>
      <c r="Q383">
        <f t="shared" si="5"/>
        <v>0</v>
      </c>
    </row>
    <row r="384" spans="1:17" x14ac:dyDescent="0.25">
      <c r="A384" s="1">
        <v>383</v>
      </c>
      <c r="B384" s="3" t="s">
        <v>98</v>
      </c>
      <c r="C384" s="5" t="s">
        <v>7</v>
      </c>
      <c r="Q384">
        <f t="shared" si="5"/>
        <v>0</v>
      </c>
    </row>
    <row r="385" spans="1:17" x14ac:dyDescent="0.25">
      <c r="A385" s="1">
        <v>384</v>
      </c>
      <c r="B385" s="3" t="s">
        <v>171</v>
      </c>
      <c r="C385" s="3" t="s">
        <v>7</v>
      </c>
      <c r="D385" s="4"/>
      <c r="Q385">
        <f t="shared" si="5"/>
        <v>0</v>
      </c>
    </row>
    <row r="386" spans="1:17" x14ac:dyDescent="0.25">
      <c r="A386" s="1">
        <v>385</v>
      </c>
      <c r="B386" s="3" t="s">
        <v>107</v>
      </c>
      <c r="C386" s="5" t="s">
        <v>7</v>
      </c>
      <c r="Q386">
        <f t="shared" ref="Q386:Q449" si="6">SUM(D386:P386)</f>
        <v>0</v>
      </c>
    </row>
    <row r="387" spans="1:17" x14ac:dyDescent="0.25">
      <c r="A387" s="1">
        <v>386</v>
      </c>
      <c r="B387" s="3" t="s">
        <v>341</v>
      </c>
      <c r="C387" s="3" t="s">
        <v>7</v>
      </c>
      <c r="Q387">
        <f t="shared" si="6"/>
        <v>0</v>
      </c>
    </row>
    <row r="388" spans="1:17" x14ac:dyDescent="0.25">
      <c r="A388" s="1">
        <v>387</v>
      </c>
      <c r="B388" s="3" t="s">
        <v>349</v>
      </c>
      <c r="C388" s="3" t="s">
        <v>7</v>
      </c>
      <c r="Q388">
        <f t="shared" si="6"/>
        <v>0</v>
      </c>
    </row>
    <row r="389" spans="1:17" x14ac:dyDescent="0.25">
      <c r="A389" s="1">
        <v>388</v>
      </c>
      <c r="B389" s="3" t="s">
        <v>220</v>
      </c>
      <c r="C389" s="3" t="s">
        <v>7</v>
      </c>
      <c r="O389">
        <v>20</v>
      </c>
      <c r="Q389">
        <f t="shared" si="6"/>
        <v>20</v>
      </c>
    </row>
    <row r="390" spans="1:17" x14ac:dyDescent="0.25">
      <c r="A390" s="1">
        <v>389</v>
      </c>
      <c r="B390" s="3" t="s">
        <v>226</v>
      </c>
      <c r="C390" s="3" t="s">
        <v>7</v>
      </c>
      <c r="Q390">
        <f t="shared" si="6"/>
        <v>0</v>
      </c>
    </row>
    <row r="391" spans="1:17" x14ac:dyDescent="0.25">
      <c r="A391" s="1">
        <v>390</v>
      </c>
      <c r="B391" s="3" t="s">
        <v>400</v>
      </c>
      <c r="C391" s="3" t="s">
        <v>7</v>
      </c>
      <c r="H391">
        <v>4</v>
      </c>
      <c r="Q391">
        <f t="shared" si="6"/>
        <v>4</v>
      </c>
    </row>
    <row r="392" spans="1:17" x14ac:dyDescent="0.25">
      <c r="A392" s="1">
        <v>391</v>
      </c>
      <c r="B392" s="3" t="s">
        <v>402</v>
      </c>
      <c r="C392" s="3" t="s">
        <v>7</v>
      </c>
      <c r="L392">
        <v>30</v>
      </c>
      <c r="Q392">
        <f t="shared" si="6"/>
        <v>30</v>
      </c>
    </row>
    <row r="393" spans="1:17" x14ac:dyDescent="0.25">
      <c r="A393" s="1">
        <v>392</v>
      </c>
      <c r="B393" s="3" t="s">
        <v>403</v>
      </c>
      <c r="C393" s="3" t="s">
        <v>7</v>
      </c>
      <c r="N393">
        <v>15</v>
      </c>
      <c r="Q393">
        <f t="shared" si="6"/>
        <v>15</v>
      </c>
    </row>
    <row r="394" spans="1:17" x14ac:dyDescent="0.25">
      <c r="A394" s="1">
        <v>393</v>
      </c>
      <c r="B394" s="3" t="s">
        <v>404</v>
      </c>
      <c r="C394" s="3" t="s">
        <v>7</v>
      </c>
      <c r="N394">
        <v>10</v>
      </c>
      <c r="Q394">
        <f t="shared" si="6"/>
        <v>10</v>
      </c>
    </row>
    <row r="395" spans="1:17" x14ac:dyDescent="0.25">
      <c r="A395" s="1">
        <v>394</v>
      </c>
      <c r="C395" s="3" t="s">
        <v>7</v>
      </c>
      <c r="Q395">
        <f t="shared" si="6"/>
        <v>0</v>
      </c>
    </row>
    <row r="396" spans="1:17" x14ac:dyDescent="0.25">
      <c r="A396" s="1">
        <v>395</v>
      </c>
      <c r="C396" s="3" t="s">
        <v>7</v>
      </c>
      <c r="Q396">
        <f t="shared" si="6"/>
        <v>0</v>
      </c>
    </row>
    <row r="397" spans="1:17" x14ac:dyDescent="0.25">
      <c r="A397" s="1">
        <v>396</v>
      </c>
      <c r="C397" s="3" t="s">
        <v>7</v>
      </c>
      <c r="Q397">
        <f t="shared" si="6"/>
        <v>0</v>
      </c>
    </row>
    <row r="398" spans="1:17" x14ac:dyDescent="0.25">
      <c r="A398" s="1">
        <v>397</v>
      </c>
      <c r="C398" s="3" t="s">
        <v>7</v>
      </c>
      <c r="Q398">
        <f t="shared" si="6"/>
        <v>0</v>
      </c>
    </row>
    <row r="399" spans="1:17" x14ac:dyDescent="0.25">
      <c r="A399" s="1">
        <v>398</v>
      </c>
      <c r="C399" s="3" t="s">
        <v>7</v>
      </c>
      <c r="Q399">
        <f t="shared" si="6"/>
        <v>0</v>
      </c>
    </row>
    <row r="400" spans="1:17" x14ac:dyDescent="0.25">
      <c r="A400" s="1">
        <v>399</v>
      </c>
      <c r="C400" s="3" t="s">
        <v>7</v>
      </c>
      <c r="Q400">
        <f t="shared" si="6"/>
        <v>0</v>
      </c>
    </row>
    <row r="401" spans="1:17" x14ac:dyDescent="0.25">
      <c r="A401" s="1">
        <v>400</v>
      </c>
      <c r="C401" s="3" t="s">
        <v>7</v>
      </c>
      <c r="Q401">
        <f t="shared" si="6"/>
        <v>0</v>
      </c>
    </row>
    <row r="402" spans="1:17" x14ac:dyDescent="0.25">
      <c r="A402" s="1">
        <v>401</v>
      </c>
      <c r="C402" s="3" t="s">
        <v>7</v>
      </c>
      <c r="Q402">
        <f t="shared" si="6"/>
        <v>0</v>
      </c>
    </row>
    <row r="403" spans="1:17" x14ac:dyDescent="0.25">
      <c r="A403" s="1">
        <v>402</v>
      </c>
      <c r="C403" s="3" t="s">
        <v>7</v>
      </c>
      <c r="Q403">
        <f t="shared" si="6"/>
        <v>0</v>
      </c>
    </row>
    <row r="404" spans="1:17" x14ac:dyDescent="0.25">
      <c r="A404" s="1">
        <v>403</v>
      </c>
      <c r="C404" s="3" t="s">
        <v>7</v>
      </c>
      <c r="Q404">
        <f t="shared" si="6"/>
        <v>0</v>
      </c>
    </row>
    <row r="405" spans="1:17" x14ac:dyDescent="0.25">
      <c r="A405" s="1">
        <v>404</v>
      </c>
      <c r="C405" s="3" t="s">
        <v>7</v>
      </c>
      <c r="Q405">
        <f t="shared" si="6"/>
        <v>0</v>
      </c>
    </row>
    <row r="406" spans="1:17" x14ac:dyDescent="0.25">
      <c r="A406" s="1">
        <v>405</v>
      </c>
      <c r="C406" s="3" t="s">
        <v>7</v>
      </c>
      <c r="Q406">
        <f t="shared" si="6"/>
        <v>0</v>
      </c>
    </row>
    <row r="407" spans="1:17" x14ac:dyDescent="0.25">
      <c r="A407" s="1">
        <v>406</v>
      </c>
      <c r="C407" s="3" t="s">
        <v>7</v>
      </c>
      <c r="Q407">
        <f t="shared" si="6"/>
        <v>0</v>
      </c>
    </row>
    <row r="408" spans="1:17" x14ac:dyDescent="0.25">
      <c r="A408" s="1">
        <v>407</v>
      </c>
      <c r="C408" s="3" t="s">
        <v>7</v>
      </c>
      <c r="Q408">
        <f t="shared" si="6"/>
        <v>0</v>
      </c>
    </row>
    <row r="409" spans="1:17" x14ac:dyDescent="0.25">
      <c r="A409" s="1">
        <v>408</v>
      </c>
      <c r="C409" s="3" t="s">
        <v>7</v>
      </c>
      <c r="Q409">
        <f t="shared" si="6"/>
        <v>0</v>
      </c>
    </row>
    <row r="410" spans="1:17" x14ac:dyDescent="0.25">
      <c r="A410" s="1">
        <v>409</v>
      </c>
      <c r="C410" s="3" t="s">
        <v>7</v>
      </c>
      <c r="Q410">
        <f t="shared" si="6"/>
        <v>0</v>
      </c>
    </row>
    <row r="411" spans="1:17" x14ac:dyDescent="0.25">
      <c r="A411" s="1">
        <v>410</v>
      </c>
      <c r="C411" s="3" t="s">
        <v>7</v>
      </c>
      <c r="Q411">
        <f t="shared" si="6"/>
        <v>0</v>
      </c>
    </row>
    <row r="412" spans="1:17" x14ac:dyDescent="0.25">
      <c r="A412" s="1">
        <v>411</v>
      </c>
      <c r="C412" s="3" t="s">
        <v>7</v>
      </c>
      <c r="Q412">
        <f t="shared" si="6"/>
        <v>0</v>
      </c>
    </row>
    <row r="413" spans="1:17" x14ac:dyDescent="0.25">
      <c r="A413" s="1">
        <v>412</v>
      </c>
      <c r="C413" s="3" t="s">
        <v>7</v>
      </c>
      <c r="Q413">
        <f t="shared" si="6"/>
        <v>0</v>
      </c>
    </row>
    <row r="414" spans="1:17" x14ac:dyDescent="0.25">
      <c r="A414" s="1">
        <v>413</v>
      </c>
      <c r="C414" s="3" t="s">
        <v>7</v>
      </c>
      <c r="Q414">
        <f t="shared" si="6"/>
        <v>0</v>
      </c>
    </row>
    <row r="415" spans="1:17" x14ac:dyDescent="0.25">
      <c r="A415" s="1">
        <v>414</v>
      </c>
      <c r="C415" s="3" t="s">
        <v>7</v>
      </c>
      <c r="Q415">
        <f t="shared" si="6"/>
        <v>0</v>
      </c>
    </row>
    <row r="416" spans="1:17" x14ac:dyDescent="0.25">
      <c r="A416" s="1">
        <v>415</v>
      </c>
      <c r="C416" s="3" t="s">
        <v>7</v>
      </c>
      <c r="Q416">
        <f t="shared" si="6"/>
        <v>0</v>
      </c>
    </row>
    <row r="417" spans="1:17" x14ac:dyDescent="0.25">
      <c r="A417" s="1">
        <v>416</v>
      </c>
      <c r="C417" s="3" t="s">
        <v>7</v>
      </c>
      <c r="Q417">
        <f t="shared" si="6"/>
        <v>0</v>
      </c>
    </row>
    <row r="418" spans="1:17" x14ac:dyDescent="0.25">
      <c r="A418" s="1">
        <v>417</v>
      </c>
      <c r="C418" s="3" t="s">
        <v>7</v>
      </c>
      <c r="Q418">
        <f t="shared" si="6"/>
        <v>0</v>
      </c>
    </row>
    <row r="419" spans="1:17" x14ac:dyDescent="0.25">
      <c r="A419" s="1">
        <v>418</v>
      </c>
      <c r="C419" s="3" t="s">
        <v>7</v>
      </c>
      <c r="Q419">
        <f t="shared" si="6"/>
        <v>0</v>
      </c>
    </row>
    <row r="420" spans="1:17" x14ac:dyDescent="0.25">
      <c r="A420" s="1">
        <v>419</v>
      </c>
      <c r="C420" s="3" t="s">
        <v>7</v>
      </c>
      <c r="Q420">
        <f t="shared" si="6"/>
        <v>0</v>
      </c>
    </row>
    <row r="421" spans="1:17" x14ac:dyDescent="0.25">
      <c r="A421" s="1">
        <v>420</v>
      </c>
      <c r="C421" s="3" t="s">
        <v>7</v>
      </c>
      <c r="Q421">
        <f t="shared" si="6"/>
        <v>0</v>
      </c>
    </row>
    <row r="422" spans="1:17" x14ac:dyDescent="0.25">
      <c r="A422" s="1">
        <v>421</v>
      </c>
      <c r="C422" s="3" t="s">
        <v>7</v>
      </c>
      <c r="Q422">
        <f t="shared" si="6"/>
        <v>0</v>
      </c>
    </row>
    <row r="423" spans="1:17" x14ac:dyDescent="0.25">
      <c r="A423" s="1">
        <v>422</v>
      </c>
      <c r="C423" s="3" t="s">
        <v>7</v>
      </c>
      <c r="Q423">
        <f t="shared" si="6"/>
        <v>0</v>
      </c>
    </row>
    <row r="424" spans="1:17" x14ac:dyDescent="0.25">
      <c r="A424" s="1">
        <v>423</v>
      </c>
      <c r="C424" s="3" t="s">
        <v>7</v>
      </c>
      <c r="Q424">
        <f t="shared" si="6"/>
        <v>0</v>
      </c>
    </row>
    <row r="425" spans="1:17" x14ac:dyDescent="0.25">
      <c r="A425" s="1">
        <v>424</v>
      </c>
      <c r="C425" s="3" t="s">
        <v>7</v>
      </c>
      <c r="Q425">
        <f t="shared" si="6"/>
        <v>0</v>
      </c>
    </row>
    <row r="426" spans="1:17" x14ac:dyDescent="0.25">
      <c r="A426" s="1">
        <v>425</v>
      </c>
      <c r="C426" s="3" t="s">
        <v>7</v>
      </c>
      <c r="Q426">
        <f t="shared" si="6"/>
        <v>0</v>
      </c>
    </row>
    <row r="427" spans="1:17" x14ac:dyDescent="0.25">
      <c r="A427" s="1">
        <v>426</v>
      </c>
      <c r="C427" s="3" t="s">
        <v>7</v>
      </c>
      <c r="Q427">
        <f t="shared" si="6"/>
        <v>0</v>
      </c>
    </row>
    <row r="428" spans="1:17" x14ac:dyDescent="0.25">
      <c r="A428" s="1">
        <v>427</v>
      </c>
      <c r="C428" s="3" t="s">
        <v>7</v>
      </c>
      <c r="Q428">
        <f t="shared" si="6"/>
        <v>0</v>
      </c>
    </row>
    <row r="429" spans="1:17" x14ac:dyDescent="0.25">
      <c r="A429" s="1">
        <v>428</v>
      </c>
      <c r="C429" s="3" t="s">
        <v>7</v>
      </c>
      <c r="Q429">
        <f t="shared" si="6"/>
        <v>0</v>
      </c>
    </row>
    <row r="430" spans="1:17" x14ac:dyDescent="0.25">
      <c r="A430" s="1">
        <v>429</v>
      </c>
      <c r="C430" s="3" t="s">
        <v>7</v>
      </c>
      <c r="Q430">
        <f t="shared" si="6"/>
        <v>0</v>
      </c>
    </row>
    <row r="431" spans="1:17" x14ac:dyDescent="0.25">
      <c r="A431" s="1">
        <v>430</v>
      </c>
      <c r="C431" s="3" t="s">
        <v>7</v>
      </c>
      <c r="Q431">
        <f t="shared" si="6"/>
        <v>0</v>
      </c>
    </row>
    <row r="432" spans="1:17" x14ac:dyDescent="0.25">
      <c r="A432" s="1">
        <v>431</v>
      </c>
      <c r="C432" s="3" t="s">
        <v>7</v>
      </c>
      <c r="Q432">
        <f t="shared" si="6"/>
        <v>0</v>
      </c>
    </row>
    <row r="433" spans="1:17" x14ac:dyDescent="0.25">
      <c r="A433" s="1">
        <v>432</v>
      </c>
      <c r="C433" s="3" t="s">
        <v>7</v>
      </c>
      <c r="Q433">
        <f t="shared" si="6"/>
        <v>0</v>
      </c>
    </row>
    <row r="434" spans="1:17" x14ac:dyDescent="0.25">
      <c r="A434" s="1">
        <v>433</v>
      </c>
      <c r="C434" s="3" t="s">
        <v>7</v>
      </c>
      <c r="Q434">
        <f t="shared" si="6"/>
        <v>0</v>
      </c>
    </row>
    <row r="435" spans="1:17" x14ac:dyDescent="0.25">
      <c r="A435" s="1">
        <v>434</v>
      </c>
      <c r="C435" s="3" t="s">
        <v>7</v>
      </c>
      <c r="Q435">
        <f t="shared" si="6"/>
        <v>0</v>
      </c>
    </row>
    <row r="436" spans="1:17" x14ac:dyDescent="0.25">
      <c r="A436" s="1">
        <v>435</v>
      </c>
      <c r="C436" s="3" t="s">
        <v>7</v>
      </c>
      <c r="Q436">
        <f t="shared" si="6"/>
        <v>0</v>
      </c>
    </row>
    <row r="437" spans="1:17" x14ac:dyDescent="0.25">
      <c r="A437" s="1">
        <v>436</v>
      </c>
      <c r="C437" s="3" t="s">
        <v>7</v>
      </c>
      <c r="Q437">
        <f t="shared" si="6"/>
        <v>0</v>
      </c>
    </row>
    <row r="438" spans="1:17" x14ac:dyDescent="0.25">
      <c r="A438" s="1">
        <v>437</v>
      </c>
      <c r="C438" s="3" t="s">
        <v>7</v>
      </c>
      <c r="Q438">
        <f t="shared" si="6"/>
        <v>0</v>
      </c>
    </row>
    <row r="439" spans="1:17" x14ac:dyDescent="0.25">
      <c r="A439" s="1">
        <v>438</v>
      </c>
      <c r="C439" s="3" t="s">
        <v>7</v>
      </c>
      <c r="Q439">
        <f t="shared" si="6"/>
        <v>0</v>
      </c>
    </row>
    <row r="440" spans="1:17" x14ac:dyDescent="0.25">
      <c r="A440" s="1">
        <v>439</v>
      </c>
      <c r="C440" s="3" t="s">
        <v>7</v>
      </c>
      <c r="Q440">
        <f t="shared" si="6"/>
        <v>0</v>
      </c>
    </row>
    <row r="441" spans="1:17" x14ac:dyDescent="0.25">
      <c r="A441" s="1">
        <v>440</v>
      </c>
      <c r="C441" s="3" t="s">
        <v>7</v>
      </c>
      <c r="Q441">
        <f t="shared" si="6"/>
        <v>0</v>
      </c>
    </row>
    <row r="442" spans="1:17" x14ac:dyDescent="0.25">
      <c r="A442" s="1">
        <v>441</v>
      </c>
      <c r="C442" s="3" t="s">
        <v>7</v>
      </c>
      <c r="Q442">
        <f t="shared" si="6"/>
        <v>0</v>
      </c>
    </row>
    <row r="443" spans="1:17" x14ac:dyDescent="0.25">
      <c r="A443" s="1">
        <v>442</v>
      </c>
      <c r="C443" s="3" t="s">
        <v>7</v>
      </c>
      <c r="Q443">
        <f t="shared" si="6"/>
        <v>0</v>
      </c>
    </row>
    <row r="444" spans="1:17" x14ac:dyDescent="0.25">
      <c r="A444" s="1">
        <v>443</v>
      </c>
      <c r="C444" s="3" t="s">
        <v>7</v>
      </c>
      <c r="Q444">
        <f t="shared" si="6"/>
        <v>0</v>
      </c>
    </row>
    <row r="445" spans="1:17" x14ac:dyDescent="0.25">
      <c r="A445" s="1">
        <v>444</v>
      </c>
      <c r="C445" s="3" t="s">
        <v>7</v>
      </c>
      <c r="Q445">
        <f t="shared" si="6"/>
        <v>0</v>
      </c>
    </row>
    <row r="446" spans="1:17" x14ac:dyDescent="0.25">
      <c r="A446" s="1">
        <v>445</v>
      </c>
      <c r="C446" s="3" t="s">
        <v>7</v>
      </c>
      <c r="Q446">
        <f t="shared" si="6"/>
        <v>0</v>
      </c>
    </row>
    <row r="447" spans="1:17" x14ac:dyDescent="0.25">
      <c r="A447" s="1">
        <v>446</v>
      </c>
      <c r="C447" s="3" t="s">
        <v>7</v>
      </c>
      <c r="Q447">
        <f t="shared" si="6"/>
        <v>0</v>
      </c>
    </row>
    <row r="448" spans="1:17" x14ac:dyDescent="0.25">
      <c r="A448" s="1">
        <v>447</v>
      </c>
      <c r="C448" s="3" t="s">
        <v>7</v>
      </c>
      <c r="Q448">
        <f t="shared" si="6"/>
        <v>0</v>
      </c>
    </row>
    <row r="449" spans="1:17" x14ac:dyDescent="0.25">
      <c r="A449" s="1">
        <v>448</v>
      </c>
      <c r="C449" s="3" t="s">
        <v>7</v>
      </c>
      <c r="Q449">
        <f t="shared" si="6"/>
        <v>0</v>
      </c>
    </row>
    <row r="450" spans="1:17" x14ac:dyDescent="0.25">
      <c r="A450" s="1">
        <v>449</v>
      </c>
      <c r="C450" s="3" t="s">
        <v>7</v>
      </c>
      <c r="Q450">
        <f t="shared" ref="Q450:Q476" si="7">SUM(D450:P450)</f>
        <v>0</v>
      </c>
    </row>
    <row r="451" spans="1:17" x14ac:dyDescent="0.25">
      <c r="A451" s="1">
        <v>450</v>
      </c>
      <c r="C451" s="3" t="s">
        <v>7</v>
      </c>
      <c r="Q451">
        <f t="shared" si="7"/>
        <v>0</v>
      </c>
    </row>
    <row r="452" spans="1:17" x14ac:dyDescent="0.25">
      <c r="A452" s="1">
        <v>451</v>
      </c>
      <c r="C452" s="3" t="s">
        <v>7</v>
      </c>
      <c r="Q452">
        <f t="shared" si="7"/>
        <v>0</v>
      </c>
    </row>
    <row r="453" spans="1:17" x14ac:dyDescent="0.25">
      <c r="A453" s="1">
        <v>452</v>
      </c>
      <c r="C453" s="3" t="s">
        <v>7</v>
      </c>
      <c r="Q453">
        <f t="shared" si="7"/>
        <v>0</v>
      </c>
    </row>
    <row r="454" spans="1:17" x14ac:dyDescent="0.25">
      <c r="A454" s="1">
        <v>453</v>
      </c>
      <c r="C454" s="3" t="s">
        <v>7</v>
      </c>
      <c r="Q454">
        <f t="shared" si="7"/>
        <v>0</v>
      </c>
    </row>
    <row r="455" spans="1:17" x14ac:dyDescent="0.25">
      <c r="A455" s="1">
        <v>454</v>
      </c>
      <c r="C455" s="3" t="s">
        <v>7</v>
      </c>
      <c r="Q455">
        <f t="shared" si="7"/>
        <v>0</v>
      </c>
    </row>
    <row r="456" spans="1:17" x14ac:dyDescent="0.25">
      <c r="A456" s="1">
        <v>455</v>
      </c>
      <c r="C456" s="3" t="s">
        <v>7</v>
      </c>
      <c r="Q456">
        <f t="shared" si="7"/>
        <v>0</v>
      </c>
    </row>
    <row r="457" spans="1:17" x14ac:dyDescent="0.25">
      <c r="A457" s="1">
        <v>456</v>
      </c>
      <c r="C457" s="3" t="s">
        <v>7</v>
      </c>
      <c r="Q457">
        <f t="shared" si="7"/>
        <v>0</v>
      </c>
    </row>
    <row r="458" spans="1:17" x14ac:dyDescent="0.25">
      <c r="A458" s="1">
        <v>457</v>
      </c>
      <c r="C458" s="3" t="s">
        <v>7</v>
      </c>
      <c r="Q458">
        <f t="shared" si="7"/>
        <v>0</v>
      </c>
    </row>
    <row r="459" spans="1:17" x14ac:dyDescent="0.25">
      <c r="A459" s="1">
        <v>458</v>
      </c>
      <c r="C459" s="3" t="s">
        <v>7</v>
      </c>
      <c r="Q459">
        <f t="shared" si="7"/>
        <v>0</v>
      </c>
    </row>
    <row r="460" spans="1:17" x14ac:dyDescent="0.25">
      <c r="A460" s="1">
        <v>459</v>
      </c>
      <c r="C460" s="3" t="s">
        <v>7</v>
      </c>
      <c r="Q460">
        <f t="shared" si="7"/>
        <v>0</v>
      </c>
    </row>
    <row r="461" spans="1:17" x14ac:dyDescent="0.25">
      <c r="A461" s="1">
        <v>460</v>
      </c>
      <c r="C461" s="3" t="s">
        <v>7</v>
      </c>
      <c r="Q461">
        <f t="shared" si="7"/>
        <v>0</v>
      </c>
    </row>
    <row r="462" spans="1:17" x14ac:dyDescent="0.25">
      <c r="A462" s="1">
        <v>461</v>
      </c>
      <c r="C462" s="3" t="s">
        <v>7</v>
      </c>
      <c r="Q462">
        <f t="shared" si="7"/>
        <v>0</v>
      </c>
    </row>
    <row r="463" spans="1:17" x14ac:dyDescent="0.25">
      <c r="A463" s="1">
        <v>462</v>
      </c>
      <c r="C463" s="3" t="s">
        <v>7</v>
      </c>
      <c r="Q463">
        <f t="shared" si="7"/>
        <v>0</v>
      </c>
    </row>
    <row r="464" spans="1:17" x14ac:dyDescent="0.25">
      <c r="A464" s="1">
        <v>463</v>
      </c>
      <c r="C464" s="3" t="s">
        <v>7</v>
      </c>
      <c r="Q464">
        <f t="shared" si="7"/>
        <v>0</v>
      </c>
    </row>
    <row r="465" spans="1:17" x14ac:dyDescent="0.25">
      <c r="A465" s="1">
        <v>464</v>
      </c>
      <c r="C465" s="3" t="s">
        <v>7</v>
      </c>
      <c r="Q465">
        <f t="shared" si="7"/>
        <v>0</v>
      </c>
    </row>
    <row r="466" spans="1:17" x14ac:dyDescent="0.25">
      <c r="A466" s="1">
        <v>465</v>
      </c>
      <c r="C466" s="3" t="s">
        <v>7</v>
      </c>
      <c r="Q466">
        <f t="shared" si="7"/>
        <v>0</v>
      </c>
    </row>
    <row r="467" spans="1:17" x14ac:dyDescent="0.25">
      <c r="A467" s="1">
        <v>466</v>
      </c>
      <c r="C467" s="3" t="s">
        <v>7</v>
      </c>
      <c r="Q467">
        <f t="shared" si="7"/>
        <v>0</v>
      </c>
    </row>
    <row r="468" spans="1:17" x14ac:dyDescent="0.25">
      <c r="A468" s="1">
        <v>467</v>
      </c>
      <c r="C468" s="3" t="s">
        <v>7</v>
      </c>
      <c r="Q468">
        <f t="shared" si="7"/>
        <v>0</v>
      </c>
    </row>
    <row r="469" spans="1:17" x14ac:dyDescent="0.25">
      <c r="A469" s="1">
        <v>468</v>
      </c>
      <c r="C469" s="3" t="s">
        <v>7</v>
      </c>
      <c r="Q469">
        <f t="shared" si="7"/>
        <v>0</v>
      </c>
    </row>
    <row r="470" spans="1:17" x14ac:dyDescent="0.25">
      <c r="A470" s="1">
        <v>469</v>
      </c>
      <c r="C470" s="3" t="s">
        <v>7</v>
      </c>
      <c r="Q470">
        <f t="shared" si="7"/>
        <v>0</v>
      </c>
    </row>
    <row r="471" spans="1:17" x14ac:dyDescent="0.25">
      <c r="A471" s="1">
        <v>470</v>
      </c>
      <c r="C471" s="3" t="s">
        <v>7</v>
      </c>
      <c r="Q471">
        <f t="shared" si="7"/>
        <v>0</v>
      </c>
    </row>
    <row r="472" spans="1:17" x14ac:dyDescent="0.25">
      <c r="A472" s="1">
        <v>471</v>
      </c>
      <c r="C472" s="3" t="s">
        <v>7</v>
      </c>
      <c r="Q472">
        <f t="shared" si="7"/>
        <v>0</v>
      </c>
    </row>
    <row r="473" spans="1:17" x14ac:dyDescent="0.25">
      <c r="A473" s="1">
        <v>472</v>
      </c>
      <c r="C473" s="3" t="s">
        <v>7</v>
      </c>
      <c r="Q473">
        <f t="shared" si="7"/>
        <v>0</v>
      </c>
    </row>
    <row r="474" spans="1:17" x14ac:dyDescent="0.25">
      <c r="A474" s="1">
        <v>473</v>
      </c>
      <c r="C474" s="3" t="s">
        <v>7</v>
      </c>
      <c r="Q474">
        <f t="shared" si="7"/>
        <v>0</v>
      </c>
    </row>
    <row r="475" spans="1:17" x14ac:dyDescent="0.25">
      <c r="A475" s="1">
        <v>474</v>
      </c>
      <c r="C475" s="3" t="s">
        <v>7</v>
      </c>
      <c r="Q475">
        <f t="shared" si="7"/>
        <v>0</v>
      </c>
    </row>
    <row r="476" spans="1:17" x14ac:dyDescent="0.25">
      <c r="A476" s="1">
        <v>475</v>
      </c>
      <c r="C476" s="3" t="s">
        <v>7</v>
      </c>
      <c r="Q476">
        <f t="shared" si="7"/>
        <v>0</v>
      </c>
    </row>
  </sheetData>
  <autoFilter ref="A1:N476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G534"/>
  <sheetViews>
    <sheetView zoomScaleNormal="100" workbookViewId="0">
      <pane xSplit="3" ySplit="1" topLeftCell="AJ138" activePane="bottomRight" state="frozen"/>
      <selection pane="topRight" activeCell="D1" sqref="D1"/>
      <selection pane="bottomLeft" activeCell="A2" sqref="A2"/>
      <selection pane="bottomRight" activeCell="BE76" sqref="BE76"/>
    </sheetView>
  </sheetViews>
  <sheetFormatPr defaultRowHeight="15.75" x14ac:dyDescent="0.25"/>
  <cols>
    <col min="1" max="1" width="6" style="1" bestFit="1" customWidth="1"/>
    <col min="2" max="2" width="38.42578125" style="2" customWidth="1"/>
    <col min="3" max="3" width="5.28515625" style="5" bestFit="1" customWidth="1"/>
    <col min="4" max="6" width="6.140625" bestFit="1" customWidth="1"/>
    <col min="7" max="7" width="7.140625" bestFit="1" customWidth="1"/>
    <col min="8" max="9" width="7.140625" customWidth="1"/>
    <col min="13" max="13" width="8.140625" bestFit="1" customWidth="1"/>
    <col min="14" max="14" width="7.85546875" customWidth="1"/>
    <col min="15" max="15" width="4.85546875" customWidth="1"/>
    <col min="16" max="16" width="4.5703125" customWidth="1"/>
    <col min="17" max="17" width="4.7109375" customWidth="1"/>
    <col min="18" max="18" width="4.85546875" customWidth="1"/>
    <col min="19" max="19" width="5.28515625" customWidth="1"/>
    <col min="20" max="20" width="5" customWidth="1"/>
    <col min="21" max="40" width="4" customWidth="1"/>
    <col min="41" max="41" width="11.5703125" customWidth="1"/>
    <col min="42" max="42" width="4.28515625" customWidth="1"/>
    <col min="43" max="43" width="5" customWidth="1"/>
    <col min="44" max="54" width="5.28515625" customWidth="1"/>
    <col min="55" max="55" width="9.140625" bestFit="1" customWidth="1"/>
    <col min="56" max="56" width="11.28515625" bestFit="1" customWidth="1"/>
    <col min="57" max="57" width="9.140625" customWidth="1"/>
  </cols>
  <sheetData>
    <row r="1" spans="1:59" ht="25.5" customHeight="1" x14ac:dyDescent="0.35">
      <c r="A1" s="7" t="s">
        <v>0</v>
      </c>
      <c r="B1" s="3" t="s">
        <v>1</v>
      </c>
      <c r="C1" s="3" t="s">
        <v>2</v>
      </c>
      <c r="D1" s="11" t="s">
        <v>20</v>
      </c>
      <c r="E1" s="11" t="s">
        <v>21</v>
      </c>
      <c r="F1" s="3" t="s">
        <v>22</v>
      </c>
      <c r="G1" s="12" t="s">
        <v>169</v>
      </c>
      <c r="H1" s="12">
        <v>45854</v>
      </c>
      <c r="I1" s="12">
        <v>18</v>
      </c>
      <c r="J1" s="3" t="s">
        <v>328</v>
      </c>
      <c r="K1" s="3" t="s">
        <v>329</v>
      </c>
      <c r="L1" s="3" t="s">
        <v>331</v>
      </c>
      <c r="M1" s="3" t="s">
        <v>366</v>
      </c>
      <c r="N1" s="3" t="s">
        <v>373</v>
      </c>
      <c r="O1" s="3">
        <v>27</v>
      </c>
      <c r="P1" s="3">
        <v>30</v>
      </c>
      <c r="Q1" s="3">
        <v>31</v>
      </c>
      <c r="R1" s="13">
        <v>45665</v>
      </c>
      <c r="S1" s="3">
        <v>2.8</v>
      </c>
      <c r="T1" s="3">
        <v>5.8</v>
      </c>
      <c r="U1" s="3">
        <v>6.8</v>
      </c>
      <c r="V1" s="3">
        <v>7.8</v>
      </c>
      <c r="W1" s="3">
        <v>8.8000000000000007</v>
      </c>
      <c r="X1" s="3">
        <v>10</v>
      </c>
      <c r="Y1" s="3">
        <v>11</v>
      </c>
      <c r="Z1" s="3">
        <v>13</v>
      </c>
      <c r="AA1" s="3">
        <v>14</v>
      </c>
      <c r="AB1" s="3">
        <v>16</v>
      </c>
      <c r="AC1" s="3">
        <v>18</v>
      </c>
      <c r="AD1" s="3">
        <v>19</v>
      </c>
      <c r="AE1" s="3">
        <v>20</v>
      </c>
      <c r="AF1" s="3">
        <v>21</v>
      </c>
      <c r="AG1" s="3">
        <v>22</v>
      </c>
      <c r="AH1" s="3">
        <v>23</v>
      </c>
      <c r="AI1" s="3">
        <v>26</v>
      </c>
      <c r="AJ1" s="3">
        <v>27</v>
      </c>
      <c r="AK1" s="3">
        <v>28</v>
      </c>
      <c r="AL1" s="3">
        <v>29</v>
      </c>
      <c r="AM1" s="3">
        <v>30</v>
      </c>
      <c r="AN1" s="3">
        <v>31</v>
      </c>
      <c r="AO1" s="11">
        <v>45901</v>
      </c>
      <c r="AP1" s="3">
        <v>3</v>
      </c>
      <c r="AQ1" s="3">
        <v>4</v>
      </c>
      <c r="AR1" s="3">
        <v>7</v>
      </c>
      <c r="AS1" s="3">
        <v>9</v>
      </c>
      <c r="AT1" s="3">
        <v>12</v>
      </c>
      <c r="AU1" s="3">
        <v>14</v>
      </c>
      <c r="AV1" s="3">
        <v>15</v>
      </c>
      <c r="AW1" s="3">
        <v>19</v>
      </c>
      <c r="AX1" s="3">
        <v>20</v>
      </c>
      <c r="AY1" s="3">
        <v>21</v>
      </c>
      <c r="AZ1" s="3">
        <v>22</v>
      </c>
      <c r="BA1" s="3">
        <v>25</v>
      </c>
      <c r="BB1" s="3">
        <v>29</v>
      </c>
      <c r="BC1" s="10" t="s">
        <v>8</v>
      </c>
      <c r="BD1" s="15">
        <v>45931</v>
      </c>
      <c r="BE1" s="16">
        <v>3</v>
      </c>
      <c r="BF1" s="16">
        <v>4</v>
      </c>
      <c r="BG1" s="16">
        <v>5</v>
      </c>
    </row>
    <row r="2" spans="1:59" ht="15.75" customHeight="1" x14ac:dyDescent="0.35">
      <c r="A2" s="7">
        <v>1</v>
      </c>
      <c r="B2" s="3" t="str">
        <f>RECEIPT!B2</f>
        <v>Y 8MM</v>
      </c>
      <c r="C2" s="3" t="s">
        <v>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10">
        <f t="shared" ref="BC2:BC63" si="0">SUM(D2:BB2)</f>
        <v>0</v>
      </c>
    </row>
    <row r="3" spans="1:59" ht="15.75" customHeight="1" x14ac:dyDescent="0.35">
      <c r="A3" s="7">
        <v>2</v>
      </c>
      <c r="B3" s="14" t="str">
        <f>RECEIPT!B3</f>
        <v>Y 10MM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10">
        <f t="shared" si="0"/>
        <v>0</v>
      </c>
    </row>
    <row r="4" spans="1:59" ht="15.75" customHeight="1" x14ac:dyDescent="0.35">
      <c r="A4" s="7">
        <v>3</v>
      </c>
      <c r="B4" s="3" t="str">
        <f>RECEIPT!B4</f>
        <v>WIRE CONNECTOR</v>
      </c>
      <c r="C4" s="3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10">
        <f t="shared" si="0"/>
        <v>0</v>
      </c>
    </row>
    <row r="5" spans="1:59" ht="15.75" customHeight="1" x14ac:dyDescent="0.35">
      <c r="A5" s="7">
        <v>4</v>
      </c>
      <c r="B5" s="3" t="str">
        <f>RECEIPT!B5</f>
        <v>WINDER CONTROLLER</v>
      </c>
      <c r="C5" s="3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10">
        <f t="shared" si="0"/>
        <v>0</v>
      </c>
    </row>
    <row r="6" spans="1:59" ht="15.75" customHeight="1" x14ac:dyDescent="0.35">
      <c r="A6" s="7">
        <v>5</v>
      </c>
      <c r="B6" s="3" t="str">
        <f>RECEIPT!B6</f>
        <v>WINDER CARD</v>
      </c>
      <c r="C6" s="3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10">
        <f t="shared" si="0"/>
        <v>1</v>
      </c>
    </row>
    <row r="7" spans="1:59" ht="15.75" customHeight="1" x14ac:dyDescent="0.35">
      <c r="A7" s="7">
        <v>6</v>
      </c>
      <c r="B7" s="3" t="str">
        <f>RECEIPT!B7</f>
        <v>WELDING ROD MS</v>
      </c>
      <c r="C7" s="3" t="s">
        <v>401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>
        <v>1</v>
      </c>
      <c r="AQ7" s="3"/>
      <c r="AR7" s="3"/>
      <c r="AS7" s="3"/>
      <c r="AT7" s="3"/>
      <c r="AU7" s="3">
        <v>1</v>
      </c>
      <c r="AV7" s="3"/>
      <c r="AW7" s="3"/>
      <c r="AX7" s="3"/>
      <c r="AY7" s="3"/>
      <c r="AZ7" s="3">
        <v>1</v>
      </c>
      <c r="BA7" s="3"/>
      <c r="BB7" s="3"/>
      <c r="BC7" s="10">
        <f t="shared" si="0"/>
        <v>3</v>
      </c>
    </row>
    <row r="8" spans="1:59" ht="15.75" customHeight="1" x14ac:dyDescent="0.35">
      <c r="A8" s="7">
        <v>7</v>
      </c>
      <c r="B8" s="3" t="str">
        <f>RECEIPT!B8</f>
        <v>WELDING GOGGLE</v>
      </c>
      <c r="C8" s="3" t="s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10">
        <f t="shared" si="0"/>
        <v>0</v>
      </c>
    </row>
    <row r="9" spans="1:59" ht="15.75" customHeight="1" x14ac:dyDescent="0.35">
      <c r="A9" s="7">
        <v>8</v>
      </c>
      <c r="B9" s="3" t="str">
        <f>RECEIPT!B9</f>
        <v>VERNIER CALIPER</v>
      </c>
      <c r="C9" s="3" t="s">
        <v>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10">
        <f t="shared" si="0"/>
        <v>0</v>
      </c>
    </row>
    <row r="10" spans="1:59" ht="15.75" customHeight="1" x14ac:dyDescent="0.35">
      <c r="A10" s="7">
        <v>9</v>
      </c>
      <c r="B10" s="3" t="str">
        <f>RECEIPT!B10</f>
        <v>UPS FUSE 315A</v>
      </c>
      <c r="C10" s="3" t="s">
        <v>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10">
        <f t="shared" si="0"/>
        <v>0</v>
      </c>
    </row>
    <row r="11" spans="1:59" ht="15.75" customHeight="1" x14ac:dyDescent="0.35">
      <c r="A11" s="7">
        <v>10</v>
      </c>
      <c r="B11" s="3" t="str">
        <f>RECEIPT!B11</f>
        <v>UPS FAN</v>
      </c>
      <c r="C11" s="3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10">
        <f t="shared" si="0"/>
        <v>0</v>
      </c>
    </row>
    <row r="12" spans="1:59" ht="15.75" customHeight="1" x14ac:dyDescent="0.35">
      <c r="A12" s="7">
        <v>11</v>
      </c>
      <c r="B12" s="3" t="str">
        <f>RECEIPT!B12</f>
        <v>U TYPE THIMBLE 2.5MM</v>
      </c>
      <c r="C12" s="3" t="s">
        <v>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v>6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10">
        <f t="shared" si="0"/>
        <v>6</v>
      </c>
    </row>
    <row r="13" spans="1:59" ht="15.75" customHeight="1" x14ac:dyDescent="0.35">
      <c r="A13" s="7">
        <v>12</v>
      </c>
      <c r="B13" s="3" t="str">
        <f>RECEIPT!B13</f>
        <v>U TYPE THIMBLE 1.5MM</v>
      </c>
      <c r="C13" s="3" t="s">
        <v>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10">
        <f t="shared" si="0"/>
        <v>0</v>
      </c>
    </row>
    <row r="14" spans="1:59" ht="15.75" customHeight="1" x14ac:dyDescent="0.35">
      <c r="A14" s="7">
        <v>13</v>
      </c>
      <c r="B14" s="3" t="str">
        <f>RECEIPT!B14</f>
        <v>TUBE LIGHT DRIVER</v>
      </c>
      <c r="C14" s="3" t="s">
        <v>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3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10">
        <f t="shared" si="0"/>
        <v>3</v>
      </c>
    </row>
    <row r="15" spans="1:59" ht="15.75" customHeight="1" x14ac:dyDescent="0.35">
      <c r="A15" s="7">
        <v>14</v>
      </c>
      <c r="B15" s="3" t="str">
        <f>RECEIPT!B15</f>
        <v>TPR FUSE 75A</v>
      </c>
      <c r="C15" s="3" t="s">
        <v>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10">
        <f t="shared" si="0"/>
        <v>0</v>
      </c>
    </row>
    <row r="16" spans="1:59" ht="15.75" customHeight="1" x14ac:dyDescent="0.35">
      <c r="A16" s="7">
        <v>15</v>
      </c>
      <c r="B16" s="3" t="str">
        <f>RECEIPT!B16</f>
        <v>TPR FUSE 55A</v>
      </c>
      <c r="C16" s="3" t="s">
        <v>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10">
        <f t="shared" si="0"/>
        <v>0</v>
      </c>
    </row>
    <row r="17" spans="1:55" ht="15.75" customHeight="1" x14ac:dyDescent="0.35">
      <c r="A17" s="7">
        <v>16</v>
      </c>
      <c r="B17" s="3" t="str">
        <f>RECEIPT!B17</f>
        <v>TPR FUSE 50A</v>
      </c>
      <c r="C17" s="3" t="s">
        <v>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10">
        <f t="shared" si="0"/>
        <v>0</v>
      </c>
    </row>
    <row r="18" spans="1:55" ht="15.75" customHeight="1" x14ac:dyDescent="0.35">
      <c r="A18" s="7">
        <v>17</v>
      </c>
      <c r="B18" s="3" t="str">
        <f>RECEIPT!B18</f>
        <v>TPR FUSE 35A</v>
      </c>
      <c r="C18" s="3" t="s">
        <v>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10">
        <f t="shared" si="0"/>
        <v>0</v>
      </c>
    </row>
    <row r="19" spans="1:55" ht="15.75" customHeight="1" x14ac:dyDescent="0.35">
      <c r="A19" s="7">
        <v>18</v>
      </c>
      <c r="B19" s="3" t="str">
        <f>RECEIPT!B19</f>
        <v>TPR 40A</v>
      </c>
      <c r="C19" s="3" t="s">
        <v>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10">
        <f t="shared" si="0"/>
        <v>0</v>
      </c>
    </row>
    <row r="20" spans="1:55" ht="15.75" customHeight="1" x14ac:dyDescent="0.35">
      <c r="A20" s="7">
        <v>19</v>
      </c>
      <c r="B20" s="3" t="str">
        <f>RECEIPT!B20</f>
        <v>TOGGLE SWITCH 15A</v>
      </c>
      <c r="C20" s="3" t="s">
        <v>7</v>
      </c>
      <c r="D20" s="3"/>
      <c r="E20" s="3"/>
      <c r="F20" s="3"/>
      <c r="G20" s="3"/>
      <c r="H20" s="3"/>
      <c r="I20" s="3"/>
      <c r="J20" s="3"/>
      <c r="K20" s="3">
        <v>1</v>
      </c>
      <c r="L20" s="3"/>
      <c r="M20" s="3"/>
      <c r="N20" s="3"/>
      <c r="O20" s="3"/>
      <c r="P20" s="3"/>
      <c r="Q20" s="3">
        <v>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10">
        <f t="shared" si="0"/>
        <v>3</v>
      </c>
    </row>
    <row r="21" spans="1:55" ht="15.75" customHeight="1" x14ac:dyDescent="0.35">
      <c r="A21" s="7">
        <v>20</v>
      </c>
      <c r="B21" s="3" t="str">
        <f>RECEIPT!B21</f>
        <v>TIMER ON DELAY</v>
      </c>
      <c r="C21" s="3" t="s">
        <v>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10">
        <f t="shared" si="0"/>
        <v>0</v>
      </c>
    </row>
    <row r="22" spans="1:55" ht="15.75" customHeight="1" x14ac:dyDescent="0.35">
      <c r="A22" s="7">
        <v>21</v>
      </c>
      <c r="B22" s="3" t="str">
        <f>RECEIPT!B22</f>
        <v xml:space="preserve">TIMER DT 60 S </v>
      </c>
      <c r="C22" s="3" t="s">
        <v>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v>2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10">
        <f t="shared" si="0"/>
        <v>2</v>
      </c>
    </row>
    <row r="23" spans="1:55" ht="15.75" customHeight="1" x14ac:dyDescent="0.35">
      <c r="A23" s="7">
        <v>22</v>
      </c>
      <c r="B23" s="3" t="str">
        <f>RECEIPT!B23</f>
        <v>TIMER AT8N</v>
      </c>
      <c r="C23" s="3" t="s">
        <v>150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10">
        <f t="shared" si="0"/>
        <v>0</v>
      </c>
    </row>
    <row r="24" spans="1:55" ht="15.75" customHeight="1" x14ac:dyDescent="0.35">
      <c r="A24" s="7">
        <v>23</v>
      </c>
      <c r="B24" s="3" t="str">
        <f>RECEIPT!B24</f>
        <v>TIMER 55ES-P8-230</v>
      </c>
      <c r="C24" s="3" t="s">
        <v>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10">
        <f t="shared" si="0"/>
        <v>0</v>
      </c>
    </row>
    <row r="25" spans="1:55" ht="15.75" customHeight="1" x14ac:dyDescent="0.35">
      <c r="A25" s="7">
        <v>24</v>
      </c>
      <c r="B25" s="3" t="str">
        <f>RECEIPT!B25</f>
        <v>THIMBLE 150MM</v>
      </c>
      <c r="C25" s="3" t="s">
        <v>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6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10">
        <f t="shared" si="0"/>
        <v>6</v>
      </c>
    </row>
    <row r="26" spans="1:55" ht="15.75" customHeight="1" x14ac:dyDescent="0.35">
      <c r="A26" s="7">
        <v>25</v>
      </c>
      <c r="B26" s="3" t="str">
        <f>RECEIPT!B26</f>
        <v>THERMOCOUPLE P TYPE</v>
      </c>
      <c r="C26" s="3" t="s">
        <v>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10">
        <f t="shared" si="0"/>
        <v>0</v>
      </c>
    </row>
    <row r="27" spans="1:55" ht="15.75" customHeight="1" x14ac:dyDescent="0.35">
      <c r="A27" s="7">
        <v>26</v>
      </c>
      <c r="B27" s="3" t="str">
        <f>RECEIPT!B27</f>
        <v>THERMOCOUPLE K TYPE</v>
      </c>
      <c r="C27" s="3" t="s">
        <v>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10">
        <f t="shared" si="0"/>
        <v>0</v>
      </c>
    </row>
    <row r="28" spans="1:55" ht="15.75" customHeight="1" x14ac:dyDescent="0.35">
      <c r="A28" s="7">
        <v>27</v>
      </c>
      <c r="B28" s="3" t="str">
        <f>RECEIPT!B28</f>
        <v>THERMOCOUPLE 5MTR</v>
      </c>
      <c r="C28" s="3" t="s">
        <v>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10">
        <f t="shared" si="0"/>
        <v>0</v>
      </c>
    </row>
    <row r="29" spans="1:55" ht="15.75" customHeight="1" x14ac:dyDescent="0.35">
      <c r="A29" s="7">
        <v>28</v>
      </c>
      <c r="B29" s="3" t="str">
        <f>RECEIPT!B29</f>
        <v>THERMOCOUPLE 3MTR</v>
      </c>
      <c r="C29" s="3" t="s">
        <v>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10">
        <f t="shared" si="0"/>
        <v>0</v>
      </c>
    </row>
    <row r="30" spans="1:55" ht="15.75" customHeight="1" x14ac:dyDescent="0.35">
      <c r="A30" s="7">
        <v>29</v>
      </c>
      <c r="B30" s="3" t="str">
        <f>RECEIPT!B30</f>
        <v>TEMP.CONTROLLER UTC 122</v>
      </c>
      <c r="C30" s="3" t="s">
        <v>7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10">
        <f t="shared" si="0"/>
        <v>0</v>
      </c>
    </row>
    <row r="31" spans="1:55" ht="15.75" customHeight="1" x14ac:dyDescent="0.35">
      <c r="A31" s="7">
        <v>30</v>
      </c>
      <c r="B31" s="3" t="str">
        <f>RECEIPT!B31</f>
        <v>TEMP.CONTROLLER TK4M-14RN</v>
      </c>
      <c r="C31" s="3" t="s">
        <v>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10">
        <f t="shared" si="0"/>
        <v>0</v>
      </c>
    </row>
    <row r="32" spans="1:55" ht="15.75" customHeight="1" x14ac:dyDescent="0.35">
      <c r="A32" s="7">
        <v>31</v>
      </c>
      <c r="B32" s="3" t="str">
        <f>RECEIPT!B32</f>
        <v>TEMP.CONTROLLER DX 9</v>
      </c>
      <c r="C32" s="3" t="s">
        <v>7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10">
        <f t="shared" si="0"/>
        <v>0</v>
      </c>
    </row>
    <row r="33" spans="1:55" ht="15.75" customHeight="1" x14ac:dyDescent="0.35">
      <c r="A33" s="7">
        <v>32</v>
      </c>
      <c r="B33" s="3" t="str">
        <f>RECEIPT!B33</f>
        <v>TEE 8MM</v>
      </c>
      <c r="C33" s="3" t="s">
        <v>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10">
        <f t="shared" si="0"/>
        <v>0</v>
      </c>
    </row>
    <row r="34" spans="1:55" ht="15.75" customHeight="1" x14ac:dyDescent="0.35">
      <c r="A34" s="7">
        <v>33</v>
      </c>
      <c r="B34" s="3" t="str">
        <f>RECEIPT!B34</f>
        <v>TEE 6MM</v>
      </c>
      <c r="C34" s="3" t="s">
        <v>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10">
        <f t="shared" si="0"/>
        <v>0</v>
      </c>
    </row>
    <row r="35" spans="1:55" ht="15.75" customHeight="1" x14ac:dyDescent="0.35">
      <c r="A35" s="7">
        <v>34</v>
      </c>
      <c r="B35" s="3" t="str">
        <f>RECEIPT!B35</f>
        <v>TEE 12MM</v>
      </c>
      <c r="C35" s="3" t="s">
        <v>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10">
        <f t="shared" si="0"/>
        <v>0</v>
      </c>
    </row>
    <row r="36" spans="1:55" ht="15.75" customHeight="1" x14ac:dyDescent="0.35">
      <c r="A36" s="7">
        <v>35</v>
      </c>
      <c r="B36" s="3" t="str">
        <f>RECEIPT!B36</f>
        <v>TEE 1/2X10</v>
      </c>
      <c r="C36" s="3" t="s">
        <v>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10">
        <f t="shared" si="0"/>
        <v>0</v>
      </c>
    </row>
    <row r="37" spans="1:55" ht="15.75" customHeight="1" x14ac:dyDescent="0.35">
      <c r="A37" s="7">
        <v>36</v>
      </c>
      <c r="B37" s="3" t="str">
        <f>RECEIPT!B37</f>
        <v>TAPER SLEEVE H 315</v>
      </c>
      <c r="C37" s="3" t="s">
        <v>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10">
        <f t="shared" si="0"/>
        <v>0</v>
      </c>
    </row>
    <row r="38" spans="1:55" ht="15.75" customHeight="1" x14ac:dyDescent="0.35">
      <c r="A38" s="7">
        <v>37</v>
      </c>
      <c r="B38" s="3" t="str">
        <f>RECEIPT!B38</f>
        <v>TAPE DISPENSOR</v>
      </c>
      <c r="C38" s="3" t="s">
        <v>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1</v>
      </c>
      <c r="AF38" s="3"/>
      <c r="AG38" s="3"/>
      <c r="AH38" s="3">
        <v>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</v>
      </c>
      <c r="AY38" s="3"/>
      <c r="AZ38" s="3"/>
      <c r="BA38" s="3">
        <v>1</v>
      </c>
      <c r="BB38" s="3"/>
      <c r="BC38" s="10">
        <f t="shared" si="0"/>
        <v>4</v>
      </c>
    </row>
    <row r="39" spans="1:55" ht="15.75" customHeight="1" x14ac:dyDescent="0.35">
      <c r="A39" s="7">
        <v>38</v>
      </c>
      <c r="B39" s="3" t="str">
        <f>RECEIPT!B39</f>
        <v>TAFLON TAPE</v>
      </c>
      <c r="C39" s="3" t="s">
        <v>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>
        <v>1</v>
      </c>
      <c r="O39" s="3">
        <v>1</v>
      </c>
      <c r="P39" s="3"/>
      <c r="Q39" s="3"/>
      <c r="R39" s="3"/>
      <c r="S39" s="3"/>
      <c r="T39" s="3">
        <v>1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2</v>
      </c>
      <c r="AF39" s="3">
        <v>1</v>
      </c>
      <c r="AG39" s="3"/>
      <c r="AH39" s="3"/>
      <c r="AI39" s="3"/>
      <c r="AJ39" s="3"/>
      <c r="AK39" s="3">
        <v>2</v>
      </c>
      <c r="AL39" s="3"/>
      <c r="AM39" s="3"/>
      <c r="AN39" s="3"/>
      <c r="AO39" s="3"/>
      <c r="AP39" s="3"/>
      <c r="AQ39" s="3"/>
      <c r="AR39" s="3"/>
      <c r="AS39" s="3">
        <v>2</v>
      </c>
      <c r="AT39" s="3"/>
      <c r="AU39" s="3">
        <v>1</v>
      </c>
      <c r="AV39" s="3"/>
      <c r="AW39" s="3"/>
      <c r="AX39" s="3"/>
      <c r="AY39" s="3"/>
      <c r="AZ39" s="3"/>
      <c r="BA39" s="3"/>
      <c r="BB39" s="3"/>
      <c r="BC39" s="10">
        <f>SUM(D39:BB39)</f>
        <v>11</v>
      </c>
    </row>
    <row r="40" spans="1:55" ht="15.75" customHeight="1" x14ac:dyDescent="0.35">
      <c r="A40" s="7">
        <v>39</v>
      </c>
      <c r="B40" s="3" t="str">
        <f>RECEIPT!B40</f>
        <v>SWITCH 6A</v>
      </c>
      <c r="C40" s="3" t="s">
        <v>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10">
        <f t="shared" si="0"/>
        <v>0</v>
      </c>
    </row>
    <row r="41" spans="1:55" ht="15.75" customHeight="1" x14ac:dyDescent="0.35">
      <c r="A41" s="7">
        <v>40</v>
      </c>
      <c r="B41" s="3" t="str">
        <f>RECEIPT!B41</f>
        <v>SWITCH 16A</v>
      </c>
      <c r="C41" s="3" t="s">
        <v>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>
        <v>1</v>
      </c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10">
        <f t="shared" si="0"/>
        <v>1</v>
      </c>
    </row>
    <row r="42" spans="1:55" ht="15.75" customHeight="1" x14ac:dyDescent="0.35">
      <c r="A42" s="7">
        <v>41</v>
      </c>
      <c r="B42" s="3" t="str">
        <f>RECEIPT!B42</f>
        <v>STAR DELTA TIMER</v>
      </c>
      <c r="C42" s="3" t="s">
        <v>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10">
        <f t="shared" si="0"/>
        <v>0</v>
      </c>
    </row>
    <row r="43" spans="1:55" ht="15.75" customHeight="1" x14ac:dyDescent="0.35">
      <c r="A43" s="7">
        <v>42</v>
      </c>
      <c r="B43" s="3" t="str">
        <f>RECEIPT!B43</f>
        <v>SS HYDRAULIC NIPPLE D TYPE 3/8"</v>
      </c>
      <c r="C43" s="3" t="s">
        <v>7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10">
        <f t="shared" si="0"/>
        <v>0</v>
      </c>
    </row>
    <row r="44" spans="1:55" ht="15.75" customHeight="1" x14ac:dyDescent="0.35">
      <c r="A44" s="7">
        <v>43</v>
      </c>
      <c r="B44" s="3" t="str">
        <f>RECEIPT!B44</f>
        <v>SS HEX NIPPLE 3/4"</v>
      </c>
      <c r="C44" s="3" t="s">
        <v>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2</v>
      </c>
      <c r="AT44" s="3"/>
      <c r="AU44" s="3">
        <v>2</v>
      </c>
      <c r="AV44" s="3"/>
      <c r="AW44" s="3"/>
      <c r="AX44" s="3"/>
      <c r="AY44" s="3"/>
      <c r="AZ44" s="3"/>
      <c r="BA44" s="3"/>
      <c r="BB44" s="3"/>
      <c r="BC44" s="10">
        <f t="shared" si="0"/>
        <v>4</v>
      </c>
    </row>
    <row r="45" spans="1:55" ht="15.75" customHeight="1" x14ac:dyDescent="0.35">
      <c r="A45" s="7">
        <v>44</v>
      </c>
      <c r="B45" s="3" t="str">
        <f>RECEIPT!B45</f>
        <v>SS HEX NIPPLE 1/2"</v>
      </c>
      <c r="C45" s="3" t="s">
        <v>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10">
        <f t="shared" si="0"/>
        <v>0</v>
      </c>
    </row>
    <row r="46" spans="1:55" ht="15.75" customHeight="1" x14ac:dyDescent="0.35">
      <c r="A46" s="7">
        <v>45</v>
      </c>
      <c r="B46" s="3" t="str">
        <f>RECEIPT!B46</f>
        <v>SPRAY GUN</v>
      </c>
      <c r="C46" s="3" t="s">
        <v>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10">
        <f t="shared" si="0"/>
        <v>0</v>
      </c>
    </row>
    <row r="47" spans="1:55" ht="15.75" customHeight="1" x14ac:dyDescent="0.35">
      <c r="A47" s="7">
        <v>46</v>
      </c>
      <c r="B47" s="3" t="str">
        <f>RECEIPT!B47</f>
        <v>SOLENOID VALVE WATER 3/4"</v>
      </c>
      <c r="C47" s="3" t="s">
        <v>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10">
        <f t="shared" si="0"/>
        <v>0</v>
      </c>
    </row>
    <row r="48" spans="1:55" ht="15.75" customHeight="1" x14ac:dyDescent="0.35">
      <c r="A48" s="7">
        <v>47</v>
      </c>
      <c r="B48" s="3" t="str">
        <f>RECEIPT!B48</f>
        <v>SOLENOID VALVE WATER 1/2"</v>
      </c>
      <c r="C48" s="3" t="s">
        <v>7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0">
        <f t="shared" si="0"/>
        <v>0</v>
      </c>
    </row>
    <row r="49" spans="1:55" ht="15.75" customHeight="1" x14ac:dyDescent="0.35">
      <c r="A49" s="7">
        <v>48</v>
      </c>
      <c r="B49" s="3" t="str">
        <f>RECEIPT!B49</f>
        <v>SOLENOID VALVE AIR</v>
      </c>
      <c r="C49" s="3" t="s">
        <v>7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</v>
      </c>
      <c r="AY49" s="3"/>
      <c r="AZ49" s="3"/>
      <c r="BA49" s="3"/>
      <c r="BB49" s="3"/>
      <c r="BC49" s="10">
        <f t="shared" si="0"/>
        <v>1</v>
      </c>
    </row>
    <row r="50" spans="1:55" ht="15.75" customHeight="1" x14ac:dyDescent="0.35">
      <c r="A50" s="7">
        <v>49</v>
      </c>
      <c r="B50" s="3" t="str">
        <f>RECEIPT!B50</f>
        <v xml:space="preserve">SOLENOID COIL WATER </v>
      </c>
      <c r="C50" s="3" t="s">
        <v>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</v>
      </c>
      <c r="AY50" s="3"/>
      <c r="AZ50" s="3"/>
      <c r="BA50" s="3"/>
      <c r="BB50" s="3"/>
      <c r="BC50" s="10">
        <f t="shared" si="0"/>
        <v>1</v>
      </c>
    </row>
    <row r="51" spans="1:55" ht="15.75" customHeight="1" x14ac:dyDescent="0.35">
      <c r="A51" s="7">
        <v>50</v>
      </c>
      <c r="B51" s="3" t="str">
        <f>RECEIPT!B51</f>
        <v>SOLENOID COIL AIR</v>
      </c>
      <c r="C51" s="3" t="s">
        <v>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1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</v>
      </c>
      <c r="AY51" s="3"/>
      <c r="AZ51" s="3"/>
      <c r="BA51" s="3"/>
      <c r="BB51" s="3"/>
      <c r="BC51" s="10">
        <f t="shared" si="0"/>
        <v>2</v>
      </c>
    </row>
    <row r="52" spans="1:55" ht="15.75" customHeight="1" x14ac:dyDescent="0.35">
      <c r="A52" s="7">
        <v>51</v>
      </c>
      <c r="B52" s="3" t="str">
        <f>RECEIPT!B52</f>
        <v>SOLENOID COIL 14837A</v>
      </c>
      <c r="C52" s="3" t="s">
        <v>7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10">
        <f t="shared" si="0"/>
        <v>0</v>
      </c>
    </row>
    <row r="53" spans="1:55" ht="15.75" customHeight="1" x14ac:dyDescent="0.35">
      <c r="A53" s="7">
        <v>52</v>
      </c>
      <c r="B53" s="3" t="str">
        <f>RECEIPT!B53</f>
        <v>SOCKET 6A</v>
      </c>
      <c r="C53" s="3" t="s">
        <v>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>
        <v>1</v>
      </c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>
        <v>4</v>
      </c>
      <c r="BB53" s="3"/>
      <c r="BC53" s="10">
        <f t="shared" si="0"/>
        <v>5</v>
      </c>
    </row>
    <row r="54" spans="1:55" ht="15.75" customHeight="1" x14ac:dyDescent="0.35">
      <c r="A54" s="7">
        <v>53</v>
      </c>
      <c r="B54" s="3" t="str">
        <f>RECEIPT!B54</f>
        <v>SOCKET 16A</v>
      </c>
      <c r="C54" s="3" t="s">
        <v>7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>
        <v>1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>
        <v>1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>
        <v>1</v>
      </c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>
        <v>4</v>
      </c>
      <c r="BB54" s="3"/>
      <c r="BC54" s="10">
        <f t="shared" si="0"/>
        <v>7</v>
      </c>
    </row>
    <row r="55" spans="1:55" ht="15.75" customHeight="1" x14ac:dyDescent="0.35">
      <c r="A55" s="7">
        <v>54</v>
      </c>
      <c r="B55" s="3" t="str">
        <f>RECEIPT!B55</f>
        <v>SMOKE SENSOR</v>
      </c>
      <c r="C55" s="3" t="s">
        <v>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0">
        <f t="shared" si="0"/>
        <v>0</v>
      </c>
    </row>
    <row r="56" spans="1:55" ht="15.75" customHeight="1" x14ac:dyDescent="0.35">
      <c r="A56" s="7">
        <v>55</v>
      </c>
      <c r="B56" s="3" t="str">
        <f>RECEIPT!B56</f>
        <v>SENSOR ZERO WSITCH</v>
      </c>
      <c r="C56" s="3" t="s">
        <v>7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10">
        <f t="shared" si="0"/>
        <v>0</v>
      </c>
    </row>
    <row r="57" spans="1:55" ht="15.75" customHeight="1" x14ac:dyDescent="0.35">
      <c r="A57" s="7">
        <v>56</v>
      </c>
      <c r="B57" s="3" t="str">
        <f>RECEIPT!B57</f>
        <v>SENSOR BODY</v>
      </c>
      <c r="C57" s="3" t="s">
        <v>7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10">
        <f t="shared" si="0"/>
        <v>0</v>
      </c>
    </row>
    <row r="58" spans="1:55" ht="15.75" customHeight="1" x14ac:dyDescent="0.35">
      <c r="A58" s="7">
        <v>57</v>
      </c>
      <c r="B58" s="3" t="str">
        <f>RECEIPT!B58</f>
        <v>SELF DRILLING SCREW 12 X 35</v>
      </c>
      <c r="C58" s="3" t="s">
        <v>7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10">
        <f t="shared" si="0"/>
        <v>0</v>
      </c>
    </row>
    <row r="59" spans="1:55" ht="15.75" customHeight="1" x14ac:dyDescent="0.35">
      <c r="A59" s="7">
        <v>58</v>
      </c>
      <c r="B59" s="3" t="str">
        <f>RECEIPT!B59</f>
        <v>SELECTOR SWITCH</v>
      </c>
      <c r="C59" s="3" t="s">
        <v>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10">
        <f t="shared" si="0"/>
        <v>0</v>
      </c>
    </row>
    <row r="60" spans="1:55" ht="15.75" customHeight="1" x14ac:dyDescent="0.35">
      <c r="A60" s="7">
        <v>59</v>
      </c>
      <c r="B60" s="3" t="str">
        <f>RECEIPT!B60</f>
        <v>ROTARY VALVE 3/4"</v>
      </c>
      <c r="C60" s="3" t="s">
        <v>7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10">
        <f t="shared" si="0"/>
        <v>0</v>
      </c>
    </row>
    <row r="61" spans="1:55" ht="15.75" customHeight="1" x14ac:dyDescent="0.35">
      <c r="A61" s="7">
        <v>60</v>
      </c>
      <c r="B61" s="3" t="str">
        <f>RECEIPT!B61</f>
        <v>ROTARY VALVE 1/2"</v>
      </c>
      <c r="C61" s="3" t="s">
        <v>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>
        <v>1</v>
      </c>
      <c r="AT61" s="3"/>
      <c r="AU61" s="3"/>
      <c r="AV61" s="3"/>
      <c r="AW61" s="3"/>
      <c r="AX61" s="3"/>
      <c r="AY61" s="3"/>
      <c r="AZ61" s="3"/>
      <c r="BA61" s="3"/>
      <c r="BB61" s="3"/>
      <c r="BC61" s="10">
        <f t="shared" si="0"/>
        <v>1</v>
      </c>
    </row>
    <row r="62" spans="1:55" ht="15.75" customHeight="1" x14ac:dyDescent="0.35">
      <c r="A62" s="7">
        <v>61</v>
      </c>
      <c r="B62" s="3" t="str">
        <f>RECEIPT!B62</f>
        <v>ROTARY VALVE 1.5"</v>
      </c>
      <c r="C62" s="3" t="s">
        <v>7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10">
        <f t="shared" si="0"/>
        <v>0</v>
      </c>
    </row>
    <row r="63" spans="1:55" ht="15.75" customHeight="1" x14ac:dyDescent="0.35">
      <c r="A63" s="7">
        <v>62</v>
      </c>
      <c r="B63" s="3" t="str">
        <f>RECEIPT!B63</f>
        <v>ROTARY VALVE 1"</v>
      </c>
      <c r="C63" s="3" t="s">
        <v>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10">
        <f t="shared" si="0"/>
        <v>0</v>
      </c>
    </row>
    <row r="64" spans="1:55" ht="15.75" customHeight="1" x14ac:dyDescent="0.35">
      <c r="A64" s="7">
        <v>63</v>
      </c>
      <c r="B64" s="3" t="str">
        <f>RECEIPT!B64</f>
        <v>ROTARY ENCODER ENC 1-1-T-24</v>
      </c>
      <c r="C64" s="3" t="s">
        <v>7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10">
        <f t="shared" ref="BC64:BC69" si="1">SUM(D64:BB64)</f>
        <v>0</v>
      </c>
    </row>
    <row r="65" spans="1:57" ht="15.75" customHeight="1" x14ac:dyDescent="0.35">
      <c r="A65" s="7">
        <v>64</v>
      </c>
      <c r="B65" s="3" t="str">
        <f>RECEIPT!B65</f>
        <v>RO MOTOR</v>
      </c>
      <c r="C65" s="3" t="s">
        <v>7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10">
        <f t="shared" si="1"/>
        <v>0</v>
      </c>
    </row>
    <row r="66" spans="1:57" ht="15.75" customHeight="1" x14ac:dyDescent="0.35">
      <c r="A66" s="7">
        <v>65</v>
      </c>
      <c r="B66" s="3" t="str">
        <f>RECEIPT!B66</f>
        <v>RO FILTER</v>
      </c>
      <c r="C66" s="3" t="s">
        <v>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>
        <v>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10">
        <f t="shared" si="1"/>
        <v>3</v>
      </c>
    </row>
    <row r="67" spans="1:57" ht="15.75" customHeight="1" x14ac:dyDescent="0.35">
      <c r="A67" s="7">
        <v>66</v>
      </c>
      <c r="B67" s="3" t="str">
        <f>RECEIPT!B67</f>
        <v>RO ADAPTER 24V</v>
      </c>
      <c r="C67" s="3" t="s">
        <v>7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10">
        <f t="shared" si="1"/>
        <v>0</v>
      </c>
    </row>
    <row r="68" spans="1:57" ht="15.75" customHeight="1" x14ac:dyDescent="0.35">
      <c r="A68" s="7">
        <v>67</v>
      </c>
      <c r="B68" s="3" t="str">
        <f>RECEIPT!B68</f>
        <v>RING TYPE THIMBLE 16MM</v>
      </c>
      <c r="C68" s="3" t="s">
        <v>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10">
        <f t="shared" si="1"/>
        <v>0</v>
      </c>
    </row>
    <row r="69" spans="1:57" ht="15.75" customHeight="1" x14ac:dyDescent="0.35">
      <c r="A69" s="7">
        <v>68</v>
      </c>
      <c r="B69" s="3" t="str">
        <f>RECEIPT!B69</f>
        <v>COPPER THIMBLERING TYPE 10MM</v>
      </c>
      <c r="C69" s="3" t="s">
        <v>7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>
        <v>10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10">
        <f t="shared" si="1"/>
        <v>10</v>
      </c>
    </row>
    <row r="70" spans="1:57" ht="15.75" customHeight="1" x14ac:dyDescent="0.35">
      <c r="A70" s="7">
        <v>69</v>
      </c>
      <c r="B70" s="3" t="str">
        <f>RECEIPT!B70</f>
        <v>RELAY BASE 8PIN</v>
      </c>
      <c r="C70" s="3" t="s">
        <v>7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10">
        <f t="shared" ref="BC70:BC129" si="2">SUM(D70:BB70)</f>
        <v>0</v>
      </c>
    </row>
    <row r="71" spans="1:57" ht="15.75" customHeight="1" x14ac:dyDescent="0.35">
      <c r="A71" s="7">
        <v>70</v>
      </c>
      <c r="B71" s="3" t="str">
        <f>RECEIPT!B71</f>
        <v>RELAY BASE 14PIN</v>
      </c>
      <c r="C71" s="3" t="s">
        <v>7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10">
        <f t="shared" si="2"/>
        <v>0</v>
      </c>
    </row>
    <row r="72" spans="1:57" ht="15.75" customHeight="1" x14ac:dyDescent="0.35">
      <c r="A72" s="7">
        <v>71</v>
      </c>
      <c r="B72" s="3" t="str">
        <f>RECEIPT!B72</f>
        <v>RELAY BASE 11PIN</v>
      </c>
      <c r="C72" s="3" t="s">
        <v>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10">
        <f t="shared" si="2"/>
        <v>0</v>
      </c>
    </row>
    <row r="73" spans="1:57" ht="15.75" customHeight="1" x14ac:dyDescent="0.35">
      <c r="A73" s="7">
        <v>72</v>
      </c>
      <c r="B73" s="3" t="str">
        <f>RECEIPT!B73</f>
        <v>RELAY 14PIN 220V</v>
      </c>
      <c r="C73" s="3" t="s">
        <v>7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10">
        <f t="shared" si="2"/>
        <v>0</v>
      </c>
    </row>
    <row r="74" spans="1:57" ht="15.75" customHeight="1" x14ac:dyDescent="0.35">
      <c r="A74" s="7">
        <v>73</v>
      </c>
      <c r="B74" s="3" t="str">
        <f>RECEIPT!B74</f>
        <v>RELAY 14PIN</v>
      </c>
      <c r="C74" s="3" t="s">
        <v>7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10">
        <f t="shared" si="2"/>
        <v>0</v>
      </c>
    </row>
    <row r="75" spans="1:57" ht="15.75" customHeight="1" x14ac:dyDescent="0.35">
      <c r="A75" s="7">
        <v>74</v>
      </c>
      <c r="B75" s="3" t="str">
        <f>RECEIPT!B75</f>
        <v>RELAY 11PIN</v>
      </c>
      <c r="C75" s="3" t="s">
        <v>7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10">
        <f t="shared" si="2"/>
        <v>0</v>
      </c>
    </row>
    <row r="76" spans="1:57" ht="15.75" customHeight="1" x14ac:dyDescent="0.35">
      <c r="A76" s="7">
        <v>75</v>
      </c>
      <c r="B76" s="3" t="str">
        <f>RECEIPT!B76</f>
        <v>PVC TAPE</v>
      </c>
      <c r="C76" s="3" t="s">
        <v>7</v>
      </c>
      <c r="D76" s="3"/>
      <c r="E76" s="3"/>
      <c r="F76" s="3"/>
      <c r="G76" s="3"/>
      <c r="H76" s="3"/>
      <c r="I76" s="3"/>
      <c r="J76" s="3"/>
      <c r="K76" s="3"/>
      <c r="L76" s="3"/>
      <c r="M76" s="3">
        <v>1</v>
      </c>
      <c r="N76" s="3">
        <v>2</v>
      </c>
      <c r="O76" s="3">
        <f>1+1</f>
        <v>2</v>
      </c>
      <c r="P76" s="3">
        <v>6</v>
      </c>
      <c r="Q76" s="3">
        <v>1</v>
      </c>
      <c r="R76" s="3"/>
      <c r="S76" s="3">
        <v>1</v>
      </c>
      <c r="T76" s="3"/>
      <c r="U76" s="3">
        <v>2</v>
      </c>
      <c r="V76" s="3"/>
      <c r="W76" s="3"/>
      <c r="X76" s="3"/>
      <c r="Y76" s="3">
        <v>2</v>
      </c>
      <c r="Z76" s="3"/>
      <c r="AA76" s="3">
        <v>2</v>
      </c>
      <c r="AB76" s="3"/>
      <c r="AC76" s="3">
        <v>2</v>
      </c>
      <c r="AD76" s="3"/>
      <c r="AE76" s="3">
        <v>4</v>
      </c>
      <c r="AF76" s="3"/>
      <c r="AG76" s="3">
        <v>4</v>
      </c>
      <c r="AH76" s="3"/>
      <c r="AI76" s="3">
        <v>4</v>
      </c>
      <c r="AJ76" s="3">
        <v>2</v>
      </c>
      <c r="AK76" s="3">
        <v>2</v>
      </c>
      <c r="AL76" s="3">
        <v>3</v>
      </c>
      <c r="AM76" s="3">
        <v>4</v>
      </c>
      <c r="AN76" s="3">
        <v>2</v>
      </c>
      <c r="AO76" s="3"/>
      <c r="AP76" s="3">
        <v>1</v>
      </c>
      <c r="AQ76" s="3"/>
      <c r="AR76" s="3">
        <v>3</v>
      </c>
      <c r="AS76" s="3">
        <v>4</v>
      </c>
      <c r="AT76" s="3"/>
      <c r="AU76" s="3">
        <v>2</v>
      </c>
      <c r="AV76" s="3"/>
      <c r="AW76" s="3">
        <v>2</v>
      </c>
      <c r="AX76" s="3"/>
      <c r="AY76" s="3">
        <v>4</v>
      </c>
      <c r="AZ76" s="3">
        <v>3</v>
      </c>
      <c r="BA76" s="3"/>
      <c r="BB76" s="3">
        <v>4</v>
      </c>
      <c r="BC76" s="10">
        <f t="shared" si="2"/>
        <v>69</v>
      </c>
      <c r="BD76">
        <v>2</v>
      </c>
      <c r="BE76">
        <v>2</v>
      </c>
    </row>
    <row r="77" spans="1:57" ht="15.75" customHeight="1" x14ac:dyDescent="0.35">
      <c r="A77" s="7">
        <v>76</v>
      </c>
      <c r="B77" s="3" t="str">
        <f>RECEIPT!B77</f>
        <v>PUSH BUTTON</v>
      </c>
      <c r="C77" s="3" t="s">
        <v>7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10">
        <f t="shared" si="2"/>
        <v>0</v>
      </c>
    </row>
    <row r="78" spans="1:57" ht="15.75" customHeight="1" x14ac:dyDescent="0.35">
      <c r="A78" s="7">
        <v>77</v>
      </c>
      <c r="B78" s="3" t="str">
        <f>RECEIPT!B78</f>
        <v>PU PIPE FOR AIR GUN</v>
      </c>
      <c r="C78" s="3" t="s">
        <v>7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10">
        <f t="shared" si="2"/>
        <v>0</v>
      </c>
    </row>
    <row r="79" spans="1:57" ht="15.75" customHeight="1" x14ac:dyDescent="0.35">
      <c r="A79" s="7">
        <v>78</v>
      </c>
      <c r="B79" s="3" t="str">
        <f>RECEIPT!B79</f>
        <v>PU CONNECTOR 3/8" X 8</v>
      </c>
      <c r="C79" s="3" t="s">
        <v>7</v>
      </c>
      <c r="D79" s="3"/>
      <c r="E79" s="3"/>
      <c r="F79" s="3"/>
      <c r="G79" s="3">
        <v>1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10">
        <f t="shared" si="2"/>
        <v>1</v>
      </c>
    </row>
    <row r="80" spans="1:57" ht="15.75" customHeight="1" x14ac:dyDescent="0.35">
      <c r="A80" s="7">
        <v>79</v>
      </c>
      <c r="B80" s="3" t="str">
        <f>RECEIPT!B80</f>
        <v>PU CONNECTOR 3/8" X 16</v>
      </c>
      <c r="C80" s="3" t="s">
        <v>7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10">
        <f t="shared" si="2"/>
        <v>0</v>
      </c>
    </row>
    <row r="81" spans="1:55" ht="15.75" customHeight="1" x14ac:dyDescent="0.35">
      <c r="A81" s="7">
        <v>80</v>
      </c>
      <c r="B81" s="3" t="str">
        <f>RECEIPT!B81</f>
        <v>PU CONNECTOR 3/8" X 10</v>
      </c>
      <c r="C81" s="3" t="s">
        <v>7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10">
        <f t="shared" si="2"/>
        <v>0</v>
      </c>
    </row>
    <row r="82" spans="1:55" ht="15.75" customHeight="1" x14ac:dyDescent="0.35">
      <c r="A82" s="7">
        <v>81</v>
      </c>
      <c r="B82" s="3" t="str">
        <f>RECEIPT!B82</f>
        <v>PU CONNECTOR 1/8" X 8</v>
      </c>
      <c r="C82" s="3" t="s">
        <v>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10">
        <f t="shared" si="2"/>
        <v>0</v>
      </c>
    </row>
    <row r="83" spans="1:55" ht="15.75" customHeight="1" x14ac:dyDescent="0.35">
      <c r="A83" s="7">
        <v>82</v>
      </c>
      <c r="B83" s="3" t="str">
        <f>RECEIPT!B83</f>
        <v>PU CONNECTOR 1/4" X 8</v>
      </c>
      <c r="C83" s="3" t="s">
        <v>7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>
        <v>1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10">
        <f t="shared" si="2"/>
        <v>1</v>
      </c>
    </row>
    <row r="84" spans="1:55" ht="15.75" customHeight="1" x14ac:dyDescent="0.35">
      <c r="A84" s="7">
        <v>83</v>
      </c>
      <c r="B84" s="3" t="str">
        <f>RECEIPT!B84</f>
        <v>PU CONNECTOR 1/4" X 12</v>
      </c>
      <c r="C84" s="3" t="s">
        <v>7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10">
        <f t="shared" si="2"/>
        <v>0</v>
      </c>
    </row>
    <row r="85" spans="1:55" ht="15.75" customHeight="1" x14ac:dyDescent="0.35">
      <c r="A85" s="7">
        <v>84</v>
      </c>
      <c r="B85" s="3" t="str">
        <f>RECEIPT!B85</f>
        <v>PU CONNECTOR 1/4" X 10</v>
      </c>
      <c r="C85" s="3" t="s">
        <v>7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10">
        <f t="shared" si="2"/>
        <v>0</v>
      </c>
    </row>
    <row r="86" spans="1:55" ht="15.75" customHeight="1" x14ac:dyDescent="0.35">
      <c r="A86" s="7">
        <v>85</v>
      </c>
      <c r="B86" s="3" t="str">
        <f>RECEIPT!B86</f>
        <v>PU CONNECTOR 1/2" X 12</v>
      </c>
      <c r="C86" s="3" t="s">
        <v>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>
        <v>2</v>
      </c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10">
        <f t="shared" si="2"/>
        <v>2</v>
      </c>
    </row>
    <row r="87" spans="1:55" ht="15.75" customHeight="1" x14ac:dyDescent="0.35">
      <c r="A87" s="7">
        <v>86</v>
      </c>
      <c r="B87" s="3" t="str">
        <f>RECEIPT!B87</f>
        <v>PU CONNECTOR 1/2" X 10</v>
      </c>
      <c r="C87" s="3" t="s">
        <v>7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10">
        <f t="shared" si="2"/>
        <v>0</v>
      </c>
    </row>
    <row r="88" spans="1:55" ht="15.75" customHeight="1" x14ac:dyDescent="0.35">
      <c r="A88" s="7">
        <v>87</v>
      </c>
      <c r="B88" s="3" t="str">
        <f>RECEIPT!B88</f>
        <v>MPCB 4-6.3 AMP</v>
      </c>
      <c r="C88" s="3" t="s">
        <v>7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10">
        <f t="shared" si="2"/>
        <v>0</v>
      </c>
    </row>
    <row r="89" spans="1:55" ht="15.75" customHeight="1" x14ac:dyDescent="0.35">
      <c r="A89" s="7">
        <v>88</v>
      </c>
      <c r="B89" s="3" t="str">
        <f>RECEIPT!B89</f>
        <v>POWER SUPPLY 24V</v>
      </c>
      <c r="C89" s="3" t="s">
        <v>7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10">
        <f t="shared" si="2"/>
        <v>0</v>
      </c>
    </row>
    <row r="90" spans="1:55" ht="15.75" customHeight="1" x14ac:dyDescent="0.35">
      <c r="A90" s="7">
        <v>89</v>
      </c>
      <c r="B90" s="3" t="str">
        <f>RECEIPT!B90</f>
        <v>POWER FACTOR CONTACTOR MOC 50KVA</v>
      </c>
      <c r="C90" s="3" t="s">
        <v>7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>
        <v>1</v>
      </c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10">
        <f t="shared" si="2"/>
        <v>1</v>
      </c>
    </row>
    <row r="91" spans="1:55" ht="15.75" customHeight="1" x14ac:dyDescent="0.35">
      <c r="A91" s="7">
        <v>90</v>
      </c>
      <c r="B91" s="3" t="str">
        <f>RECEIPT!B91</f>
        <v>POWER FACTOR CONTACTOR MOC 25KVA</v>
      </c>
      <c r="C91" s="3" t="s">
        <v>7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10">
        <f t="shared" si="2"/>
        <v>0</v>
      </c>
    </row>
    <row r="92" spans="1:55" ht="15.75" customHeight="1" x14ac:dyDescent="0.35">
      <c r="A92" s="7">
        <v>91</v>
      </c>
      <c r="B92" s="3" t="str">
        <f>RECEIPT!B92</f>
        <v>POWER FACTOR CAPACITOR 25KVA</v>
      </c>
      <c r="C92" s="3" t="s">
        <v>7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10">
        <f t="shared" si="2"/>
        <v>0</v>
      </c>
    </row>
    <row r="93" spans="1:55" ht="15.75" customHeight="1" x14ac:dyDescent="0.35">
      <c r="A93" s="7">
        <v>92</v>
      </c>
      <c r="B93" s="3" t="str">
        <f>RECEIPT!B93</f>
        <v>POWER FACTOR CAPACITOR 25 KVAR</v>
      </c>
      <c r="C93" s="3" t="s">
        <v>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10">
        <f t="shared" si="2"/>
        <v>0</v>
      </c>
    </row>
    <row r="94" spans="1:55" ht="15.75" customHeight="1" x14ac:dyDescent="0.35">
      <c r="A94" s="7">
        <v>93</v>
      </c>
      <c r="B94" s="3" t="str">
        <f>RECEIPT!B94</f>
        <v>POWER FACTOR CAPACITOR 20 KVAR</v>
      </c>
      <c r="C94" s="3" t="s">
        <v>7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10">
        <f t="shared" si="2"/>
        <v>0</v>
      </c>
    </row>
    <row r="95" spans="1:55" ht="15.75" customHeight="1" x14ac:dyDescent="0.35">
      <c r="A95" s="7">
        <v>94</v>
      </c>
      <c r="B95" s="3" t="str">
        <f>RECEIPT!B95</f>
        <v>POWER FACTOR CAPACITOR 10KVA</v>
      </c>
      <c r="C95" s="3" t="s">
        <v>7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10">
        <f t="shared" si="2"/>
        <v>0</v>
      </c>
    </row>
    <row r="96" spans="1:55" ht="15.75" customHeight="1" x14ac:dyDescent="0.35">
      <c r="A96" s="7">
        <v>95</v>
      </c>
      <c r="B96" s="3" t="str">
        <f>RECEIPT!B96</f>
        <v>POTENTIO METER B202K</v>
      </c>
      <c r="C96" s="3" t="s">
        <v>7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10">
        <f t="shared" si="2"/>
        <v>0</v>
      </c>
    </row>
    <row r="97" spans="1:55" ht="15.75" customHeight="1" x14ac:dyDescent="0.35">
      <c r="A97" s="7">
        <v>96</v>
      </c>
      <c r="B97" s="3" t="str">
        <f>RECEIPT!B97</f>
        <v>POTENTIO METER 5K</v>
      </c>
      <c r="C97" s="3" t="s">
        <v>7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10">
        <f t="shared" si="2"/>
        <v>0</v>
      </c>
    </row>
    <row r="98" spans="1:55" ht="15.75" customHeight="1" x14ac:dyDescent="0.35">
      <c r="A98" s="7">
        <v>97</v>
      </c>
      <c r="B98" s="3" t="str">
        <f>RECEIPT!B98</f>
        <v>POTENTIO METER 2K</v>
      </c>
      <c r="C98" s="3" t="s">
        <v>7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10">
        <f t="shared" si="2"/>
        <v>0</v>
      </c>
    </row>
    <row r="99" spans="1:55" ht="15.75" customHeight="1" x14ac:dyDescent="0.35">
      <c r="A99" s="7">
        <v>98</v>
      </c>
      <c r="B99" s="3" t="str">
        <f>RECEIPT!B99</f>
        <v>POTENTIO METER 250K</v>
      </c>
      <c r="C99" s="3" t="s">
        <v>7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10">
        <f t="shared" si="2"/>
        <v>0</v>
      </c>
    </row>
    <row r="100" spans="1:55" ht="15.75" customHeight="1" x14ac:dyDescent="0.35">
      <c r="A100" s="7">
        <v>99</v>
      </c>
      <c r="B100" s="3" t="str">
        <f>RECEIPT!B100</f>
        <v>POTENTIO METER 1K</v>
      </c>
      <c r="C100" s="3" t="s">
        <v>7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>
        <v>1</v>
      </c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10">
        <f t="shared" si="2"/>
        <v>1</v>
      </c>
    </row>
    <row r="101" spans="1:55" ht="15.75" customHeight="1" x14ac:dyDescent="0.35">
      <c r="A101" s="7">
        <v>100</v>
      </c>
      <c r="B101" s="3" t="str">
        <f>RECEIPT!B101</f>
        <v>POTENTIO METER 10K</v>
      </c>
      <c r="C101" s="3" t="s">
        <v>7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10">
        <f t="shared" si="2"/>
        <v>0</v>
      </c>
    </row>
    <row r="102" spans="1:55" ht="15.75" customHeight="1" x14ac:dyDescent="0.35">
      <c r="A102" s="7">
        <v>101</v>
      </c>
      <c r="B102" s="3" t="str">
        <f>RECEIPT!B102</f>
        <v>POTENTIO METER 100K</v>
      </c>
      <c r="C102" s="3" t="s">
        <v>7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10">
        <f t="shared" si="2"/>
        <v>0</v>
      </c>
    </row>
    <row r="103" spans="1:55" ht="15.75" customHeight="1" x14ac:dyDescent="0.35">
      <c r="A103" s="7">
        <v>102</v>
      </c>
      <c r="B103" s="3" t="str">
        <f>RECEIPT!B103</f>
        <v>PNEUMATIC CYLINDER 80X160</v>
      </c>
      <c r="C103" s="3" t="s">
        <v>7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10">
        <f t="shared" si="2"/>
        <v>0</v>
      </c>
    </row>
    <row r="104" spans="1:55" ht="15.75" customHeight="1" x14ac:dyDescent="0.35">
      <c r="A104" s="7">
        <v>103</v>
      </c>
      <c r="B104" s="3" t="str">
        <f>RECEIPT!B104</f>
        <v>PNEUMATIC CYLINDER 63X50</v>
      </c>
      <c r="C104" s="3" t="s">
        <v>7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10">
        <f t="shared" si="2"/>
        <v>0</v>
      </c>
    </row>
    <row r="105" spans="1:55" ht="15.75" customHeight="1" x14ac:dyDescent="0.35">
      <c r="A105" s="7">
        <v>104</v>
      </c>
      <c r="B105" s="3" t="str">
        <f>RECEIPT!B105</f>
        <v>PLASTIC TAP</v>
      </c>
      <c r="C105" s="3" t="s">
        <v>7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>
        <v>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10">
        <f t="shared" si="2"/>
        <v>1</v>
      </c>
    </row>
    <row r="106" spans="1:55" ht="15.75" customHeight="1" x14ac:dyDescent="0.35">
      <c r="A106" s="7">
        <v>105</v>
      </c>
      <c r="B106" s="3" t="str">
        <f>RECEIPT!B106</f>
        <v>PIPE THIMBLE 5MM</v>
      </c>
      <c r="C106" s="3" t="s">
        <v>7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10">
        <f t="shared" si="2"/>
        <v>0</v>
      </c>
    </row>
    <row r="107" spans="1:55" ht="15.75" customHeight="1" x14ac:dyDescent="0.35">
      <c r="A107" s="7">
        <v>106</v>
      </c>
      <c r="B107" s="3" t="str">
        <f>RECEIPT!B107</f>
        <v>PIPE THIMBLE 1.5MM</v>
      </c>
      <c r="C107" s="3" t="s">
        <v>7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10">
        <f t="shared" si="2"/>
        <v>0</v>
      </c>
    </row>
    <row r="108" spans="1:55" ht="15.75" customHeight="1" x14ac:dyDescent="0.35">
      <c r="A108" s="7">
        <v>107</v>
      </c>
      <c r="B108" s="3" t="str">
        <f>RECEIPT!B108</f>
        <v>PIPE M/C GLASS HEATER 500W/230V P</v>
      </c>
      <c r="C108" s="3" t="s">
        <v>7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</v>
      </c>
      <c r="BA108" s="3"/>
      <c r="BB108" s="3"/>
      <c r="BC108" s="10">
        <f t="shared" si="2"/>
        <v>1</v>
      </c>
    </row>
    <row r="109" spans="1:55" ht="15.75" customHeight="1" x14ac:dyDescent="0.35">
      <c r="A109" s="7">
        <v>108</v>
      </c>
      <c r="B109" s="3" t="str">
        <f>RECEIPT!B109</f>
        <v>PIPE M/C GLASS HEATER 500W/230V GI</v>
      </c>
      <c r="C109" s="3" t="s">
        <v>7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1</v>
      </c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10">
        <f t="shared" si="2"/>
        <v>1</v>
      </c>
    </row>
    <row r="110" spans="1:55" ht="15.75" customHeight="1" x14ac:dyDescent="0.35">
      <c r="A110" s="7">
        <v>109</v>
      </c>
      <c r="B110" s="3" t="str">
        <f>RECEIPT!B110</f>
        <v>PIPE M/C GLASS HEATER 500W/230V D</v>
      </c>
      <c r="C110" s="3" t="s">
        <v>7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10">
        <f t="shared" si="2"/>
        <v>0</v>
      </c>
    </row>
    <row r="111" spans="1:55" ht="15.75" customHeight="1" x14ac:dyDescent="0.35">
      <c r="A111" s="7">
        <v>110</v>
      </c>
      <c r="B111" s="3" t="str">
        <f>RECEIPT!B111</f>
        <v>PHOTO SENSOR SET</v>
      </c>
      <c r="C111" s="3" t="s">
        <v>7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10">
        <f t="shared" si="2"/>
        <v>0</v>
      </c>
    </row>
    <row r="112" spans="1:55" ht="15.75" customHeight="1" x14ac:dyDescent="0.35">
      <c r="A112" s="7">
        <v>111</v>
      </c>
      <c r="B112" s="3" t="str">
        <f>RECEIPT!B112</f>
        <v>PHOTO SENSOR GTB-6 - P 1212</v>
      </c>
      <c r="C112" s="3" t="s">
        <v>7</v>
      </c>
      <c r="D112" s="3"/>
      <c r="E112" s="3"/>
      <c r="F112" s="3"/>
      <c r="G112" s="3"/>
      <c r="H112" s="3"/>
      <c r="I112" s="3"/>
      <c r="J112" s="3"/>
      <c r="K112" s="3"/>
      <c r="L112" s="3">
        <v>1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10">
        <f t="shared" si="2"/>
        <v>1</v>
      </c>
    </row>
    <row r="113" spans="1:55" ht="15.75" customHeight="1" x14ac:dyDescent="0.35">
      <c r="A113" s="7">
        <v>112</v>
      </c>
      <c r="B113" s="3" t="str">
        <f>RECEIPT!B113</f>
        <v>PHOTO SENSOR GTB-6 - N 1212</v>
      </c>
      <c r="C113" s="3" t="s">
        <v>7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10">
        <f t="shared" si="2"/>
        <v>0</v>
      </c>
    </row>
    <row r="114" spans="1:55" ht="15.75" customHeight="1" x14ac:dyDescent="0.35">
      <c r="A114" s="7">
        <v>113</v>
      </c>
      <c r="B114" s="3" t="str">
        <f>RECEIPT!B114</f>
        <v>PHOTO SENSOR GC-E3Z-D81</v>
      </c>
      <c r="C114" s="3" t="s">
        <v>7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10">
        <f t="shared" si="2"/>
        <v>0</v>
      </c>
    </row>
    <row r="115" spans="1:55" ht="15.75" customHeight="1" x14ac:dyDescent="0.35">
      <c r="A115" s="7">
        <v>114</v>
      </c>
      <c r="B115" s="3" t="str">
        <f>RECEIPT!B115</f>
        <v>PHOTO SENSOR GC-E3Z-D61</v>
      </c>
      <c r="C115" s="3" t="s">
        <v>7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10">
        <f t="shared" si="2"/>
        <v>0</v>
      </c>
    </row>
    <row r="116" spans="1:55" ht="15.75" customHeight="1" x14ac:dyDescent="0.35">
      <c r="A116" s="7">
        <v>115</v>
      </c>
      <c r="B116" s="3" t="str">
        <f>RECEIPT!B116</f>
        <v>PHOTO SENSOR BX5M-MFR</v>
      </c>
      <c r="C116" s="3" t="s">
        <v>7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10">
        <f t="shared" si="2"/>
        <v>0</v>
      </c>
    </row>
    <row r="117" spans="1:55" ht="15.75" customHeight="1" x14ac:dyDescent="0.35">
      <c r="A117" s="7">
        <v>116</v>
      </c>
      <c r="B117" s="3" t="str">
        <f>RECEIPT!B117</f>
        <v>PHASE SEQUENCER S1VMR7</v>
      </c>
      <c r="C117" s="3" t="s">
        <v>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10">
        <f t="shared" si="2"/>
        <v>0</v>
      </c>
    </row>
    <row r="118" spans="1:55" ht="15.75" customHeight="1" x14ac:dyDescent="0.35">
      <c r="A118" s="7">
        <v>117</v>
      </c>
      <c r="B118" s="3" t="str">
        <f>RECEIPT!B118</f>
        <v>PANEL RELAY 24V</v>
      </c>
      <c r="C118" s="3" t="s">
        <v>7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10">
        <f t="shared" si="2"/>
        <v>0</v>
      </c>
    </row>
    <row r="119" spans="1:55" ht="15.75" customHeight="1" x14ac:dyDescent="0.35">
      <c r="A119" s="7">
        <v>118</v>
      </c>
      <c r="B119" s="3" t="str">
        <f>RECEIPT!B119</f>
        <v>PANEL LOCK</v>
      </c>
      <c r="C119" s="3" t="s">
        <v>7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10">
        <f t="shared" si="2"/>
        <v>0</v>
      </c>
    </row>
    <row r="120" spans="1:55" ht="15.75" customHeight="1" x14ac:dyDescent="0.35">
      <c r="A120" s="7">
        <v>119</v>
      </c>
      <c r="B120" s="3" t="str">
        <f>RECEIPT!B120</f>
        <v>PANEL INDICATOR</v>
      </c>
      <c r="C120" s="3" t="s">
        <v>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10">
        <f t="shared" si="2"/>
        <v>0</v>
      </c>
    </row>
    <row r="121" spans="1:55" ht="15.75" customHeight="1" x14ac:dyDescent="0.35">
      <c r="A121" s="7">
        <v>120</v>
      </c>
      <c r="B121" s="3" t="str">
        <f>RECEIPT!B121</f>
        <v>PANEL FAN 8"</v>
      </c>
      <c r="C121" s="3" t="s">
        <v>7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>
        <v>1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10">
        <f t="shared" si="2"/>
        <v>1</v>
      </c>
    </row>
    <row r="122" spans="1:55" ht="15.75" customHeight="1" x14ac:dyDescent="0.35">
      <c r="A122" s="7">
        <v>121</v>
      </c>
      <c r="B122" s="3" t="str">
        <f>RECEIPT!B122</f>
        <v>PANEL FAN 6"</v>
      </c>
      <c r="C122" s="3" t="s">
        <v>7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10">
        <f t="shared" si="2"/>
        <v>0</v>
      </c>
    </row>
    <row r="123" spans="1:55" ht="15.75" customHeight="1" x14ac:dyDescent="0.35">
      <c r="A123" s="7">
        <v>122</v>
      </c>
      <c r="B123" s="3" t="str">
        <f>RECEIPT!B123</f>
        <v>PANEL FAN 4"</v>
      </c>
      <c r="C123" s="3" t="s">
        <v>7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1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10">
        <f t="shared" si="2"/>
        <v>1</v>
      </c>
    </row>
    <row r="124" spans="1:55" ht="15.75" customHeight="1" x14ac:dyDescent="0.35">
      <c r="A124" s="7">
        <v>123</v>
      </c>
      <c r="B124" s="3" t="str">
        <f>RECEIPT!B124</f>
        <v>OVER LAOD RELAY 7-10</v>
      </c>
      <c r="C124" s="3" t="s">
        <v>7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10">
        <f t="shared" si="2"/>
        <v>0</v>
      </c>
    </row>
    <row r="125" spans="1:55" ht="15.75" customHeight="1" x14ac:dyDescent="0.35">
      <c r="A125" s="7">
        <v>124</v>
      </c>
      <c r="B125" s="3" t="str">
        <f>RECEIPT!B125</f>
        <v>OVER LAOD RELAY 6-10</v>
      </c>
      <c r="C125" s="3" t="s">
        <v>7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10">
        <f t="shared" si="2"/>
        <v>0</v>
      </c>
    </row>
    <row r="126" spans="1:55" ht="15.75" customHeight="1" x14ac:dyDescent="0.35">
      <c r="A126" s="7">
        <v>125</v>
      </c>
      <c r="B126" s="3" t="str">
        <f>RECEIPT!B126</f>
        <v>OVER LAOD RELAY 24.5-36</v>
      </c>
      <c r="C126" s="3" t="s">
        <v>7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10">
        <f t="shared" si="2"/>
        <v>0</v>
      </c>
    </row>
    <row r="127" spans="1:55" ht="15.75" customHeight="1" x14ac:dyDescent="0.35">
      <c r="A127" s="7">
        <v>126</v>
      </c>
      <c r="B127" s="3" t="str">
        <f>RECEIPT!B127</f>
        <v>OVER LAOD RELAY 12-18</v>
      </c>
      <c r="C127" s="3" t="s">
        <v>7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10">
        <f t="shared" si="2"/>
        <v>0</v>
      </c>
    </row>
    <row r="128" spans="1:55" ht="15.75" customHeight="1" x14ac:dyDescent="0.35">
      <c r="A128" s="7">
        <v>127</v>
      </c>
      <c r="B128" s="3" t="str">
        <f>RECEIPT!B128</f>
        <v>OVER LAOD RELAY 1.6-2.5</v>
      </c>
      <c r="C128" s="3" t="s">
        <v>7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10">
        <f t="shared" si="2"/>
        <v>0</v>
      </c>
    </row>
    <row r="129" spans="1:55" ht="15.75" customHeight="1" x14ac:dyDescent="0.35">
      <c r="A129" s="7">
        <v>128</v>
      </c>
      <c r="B129" s="3" t="str">
        <f>RECEIPT!B129</f>
        <v>OVEN PHOTO SENSOR UVI  18210060</v>
      </c>
      <c r="C129" s="3" t="s">
        <v>7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>
        <v>1</v>
      </c>
      <c r="AW129" s="3"/>
      <c r="AX129" s="3"/>
      <c r="AY129" s="3"/>
      <c r="AZ129" s="3"/>
      <c r="BA129" s="3"/>
      <c r="BB129" s="3"/>
      <c r="BC129" s="10">
        <f t="shared" si="2"/>
        <v>1</v>
      </c>
    </row>
    <row r="130" spans="1:55" ht="15.75" customHeight="1" x14ac:dyDescent="0.35">
      <c r="A130" s="7">
        <v>129</v>
      </c>
      <c r="B130" s="3">
        <f>RECEIPT!B130</f>
        <v>0</v>
      </c>
      <c r="C130" s="3" t="s">
        <v>7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10">
        <f t="shared" ref="BC130:BC193" si="3">SUM(D130:BB130)</f>
        <v>0</v>
      </c>
    </row>
    <row r="131" spans="1:55" ht="15.75" customHeight="1" x14ac:dyDescent="0.35">
      <c r="A131" s="7">
        <v>130</v>
      </c>
      <c r="B131" s="3" t="str">
        <f>RECEIPT!B131</f>
        <v>OIL HEATER</v>
      </c>
      <c r="C131" s="3" t="s">
        <v>7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>
        <v>1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10">
        <f t="shared" si="3"/>
        <v>1</v>
      </c>
    </row>
    <row r="132" spans="1:55" ht="15.75" customHeight="1" x14ac:dyDescent="0.35">
      <c r="A132" s="7">
        <v>131</v>
      </c>
      <c r="B132" s="3">
        <f>RECEIPT!B132</f>
        <v>0</v>
      </c>
      <c r="C132" s="3" t="s">
        <v>7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10">
        <f t="shared" si="3"/>
        <v>0</v>
      </c>
    </row>
    <row r="133" spans="1:55" ht="15.75" customHeight="1" x14ac:dyDescent="0.35">
      <c r="A133" s="7">
        <v>132</v>
      </c>
      <c r="B133" s="3" t="str">
        <f>RECEIPT!B133</f>
        <v>OIL FILTER 1.5"</v>
      </c>
      <c r="C133" s="3" t="s">
        <v>7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10">
        <f t="shared" si="3"/>
        <v>0</v>
      </c>
    </row>
    <row r="134" spans="1:55" ht="15.75" customHeight="1" x14ac:dyDescent="0.35">
      <c r="A134" s="7">
        <v>133</v>
      </c>
      <c r="B134" s="3" t="str">
        <f>RECEIPT!B134</f>
        <v>NO SWITCH GREEN</v>
      </c>
      <c r="C134" s="3" t="s">
        <v>7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>
        <v>1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>
        <v>1</v>
      </c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10">
        <f t="shared" si="3"/>
        <v>2</v>
      </c>
    </row>
    <row r="135" spans="1:55" ht="15.75" customHeight="1" x14ac:dyDescent="0.35">
      <c r="A135" s="7">
        <v>134</v>
      </c>
      <c r="B135" s="3" t="str">
        <f>RECEIPT!B135</f>
        <v>NC SWITCH RED</v>
      </c>
      <c r="C135" s="3" t="s">
        <v>7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10">
        <f t="shared" si="3"/>
        <v>0</v>
      </c>
    </row>
    <row r="136" spans="1:55" ht="15.75" customHeight="1" x14ac:dyDescent="0.35">
      <c r="A136" s="7">
        <v>135</v>
      </c>
      <c r="B136" s="3" t="str">
        <f>RECEIPT!B136</f>
        <v>MS REDUCING BUSH 1" X 1/2"</v>
      </c>
      <c r="C136" s="3" t="s">
        <v>7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>
        <v>2</v>
      </c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10">
        <f t="shared" si="3"/>
        <v>2</v>
      </c>
    </row>
    <row r="137" spans="1:55" ht="15.75" customHeight="1" x14ac:dyDescent="0.35">
      <c r="A137" s="7">
        <v>136</v>
      </c>
      <c r="B137" s="3" t="str">
        <f>RECEIPT!B137</f>
        <v>MPCB 9-14 SCHNIDER</v>
      </c>
      <c r="C137" s="3" t="s">
        <v>7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1</v>
      </c>
      <c r="AV137" s="3"/>
      <c r="AW137" s="3"/>
      <c r="AX137" s="3"/>
      <c r="AY137" s="3"/>
      <c r="AZ137" s="3"/>
      <c r="BA137" s="3"/>
      <c r="BB137" s="3"/>
      <c r="BC137" s="10">
        <f t="shared" si="3"/>
        <v>1</v>
      </c>
    </row>
    <row r="138" spans="1:55" ht="15.75" customHeight="1" x14ac:dyDescent="0.35">
      <c r="A138" s="7">
        <v>137</v>
      </c>
      <c r="B138" s="3" t="str">
        <f>RECEIPT!B138</f>
        <v>MPCB 6-10</v>
      </c>
      <c r="C138" s="3" t="s">
        <v>7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>
        <v>3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10">
        <f t="shared" si="3"/>
        <v>3</v>
      </c>
    </row>
    <row r="139" spans="1:55" ht="15.75" customHeight="1" x14ac:dyDescent="0.35">
      <c r="A139" s="7">
        <v>138</v>
      </c>
      <c r="B139" s="3" t="str">
        <f>RECEIPT!B139</f>
        <v>MICRO METER SMALL</v>
      </c>
      <c r="C139" s="3" t="s">
        <v>7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10">
        <f t="shared" si="3"/>
        <v>0</v>
      </c>
    </row>
    <row r="140" spans="1:55" ht="15.75" customHeight="1" x14ac:dyDescent="0.35">
      <c r="A140" s="7">
        <v>139</v>
      </c>
      <c r="B140" s="3" t="str">
        <f>RECEIPT!B140</f>
        <v>MICRO METER BIG</v>
      </c>
      <c r="C140" s="3" t="s">
        <v>7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10">
        <f t="shared" si="3"/>
        <v>0</v>
      </c>
    </row>
    <row r="141" spans="1:55" ht="15.75" customHeight="1" x14ac:dyDescent="0.35">
      <c r="A141" s="7">
        <v>140</v>
      </c>
      <c r="B141" s="3" t="str">
        <f>RECEIPT!B141</f>
        <v>METAL SENSOR PRT18 8 DO</v>
      </c>
      <c r="C141" s="3" t="s">
        <v>7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10">
        <f t="shared" si="3"/>
        <v>0</v>
      </c>
    </row>
    <row r="142" spans="1:55" ht="15.75" customHeight="1" x14ac:dyDescent="0.35">
      <c r="A142" s="7">
        <v>141</v>
      </c>
      <c r="B142" s="3" t="str">
        <f>RECEIPT!B142</f>
        <v>METAL SENSOR PNP NO</v>
      </c>
      <c r="C142" s="3" t="s">
        <v>7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10">
        <f t="shared" si="3"/>
        <v>0</v>
      </c>
    </row>
    <row r="143" spans="1:55" ht="15.75" customHeight="1" x14ac:dyDescent="0.35">
      <c r="A143" s="7">
        <v>142</v>
      </c>
      <c r="B143" s="3" t="str">
        <f>RECEIPT!B143</f>
        <v>METAL SENSOR NPN NO</v>
      </c>
      <c r="C143" s="3" t="s">
        <v>7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10">
        <f t="shared" si="3"/>
        <v>0</v>
      </c>
    </row>
    <row r="144" spans="1:55" ht="15.75" customHeight="1" x14ac:dyDescent="0.35">
      <c r="A144" s="7">
        <v>143</v>
      </c>
      <c r="B144" s="3" t="str">
        <f>RECEIPT!B144</f>
        <v>METAL SENSOR CKDP 18</v>
      </c>
      <c r="C144" s="3" t="s">
        <v>7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10">
        <f t="shared" si="3"/>
        <v>0</v>
      </c>
    </row>
    <row r="145" spans="1:55" ht="15.75" customHeight="1" x14ac:dyDescent="0.35">
      <c r="A145" s="7">
        <v>144</v>
      </c>
      <c r="B145" s="3" t="str">
        <f>RECEIPT!B145</f>
        <v>MEGAR METER EARTHING</v>
      </c>
      <c r="C145" s="3" t="s">
        <v>7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10">
        <f t="shared" si="3"/>
        <v>0</v>
      </c>
    </row>
    <row r="146" spans="1:55" ht="15.75" customHeight="1" x14ac:dyDescent="0.35">
      <c r="A146" s="7">
        <v>145</v>
      </c>
      <c r="B146" s="3" t="str">
        <f>RECEIPT!B146</f>
        <v>MCCB 30AMP 3P</v>
      </c>
      <c r="C146" s="3" t="s">
        <v>7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10">
        <f t="shared" si="3"/>
        <v>0</v>
      </c>
    </row>
    <row r="147" spans="1:55" ht="15.75" customHeight="1" x14ac:dyDescent="0.35">
      <c r="A147" s="7">
        <v>146</v>
      </c>
      <c r="B147" s="3" t="str">
        <f>RECEIPT!B147</f>
        <v>MCCB 10AMP 3P</v>
      </c>
      <c r="C147" s="3" t="s">
        <v>7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10">
        <f t="shared" si="3"/>
        <v>0</v>
      </c>
    </row>
    <row r="148" spans="1:55" ht="15.75" customHeight="1" x14ac:dyDescent="0.35">
      <c r="A148" s="7">
        <v>147</v>
      </c>
      <c r="B148" s="3" t="str">
        <f>RECEIPT!B148</f>
        <v>MCB BOX 8 WAY</v>
      </c>
      <c r="C148" s="3" t="s">
        <v>7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10">
        <f t="shared" si="3"/>
        <v>0</v>
      </c>
    </row>
    <row r="149" spans="1:55" ht="15.75" customHeight="1" x14ac:dyDescent="0.35">
      <c r="A149" s="7">
        <v>148</v>
      </c>
      <c r="B149" s="3" t="str">
        <f>RECEIPT!B149</f>
        <v>MCB BOX 10 WAY</v>
      </c>
      <c r="C149" s="3" t="s">
        <v>7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10">
        <f t="shared" si="3"/>
        <v>0</v>
      </c>
    </row>
    <row r="150" spans="1:55" ht="15.75" customHeight="1" x14ac:dyDescent="0.35">
      <c r="A150" s="7">
        <v>149</v>
      </c>
      <c r="B150" s="3" t="str">
        <f>RECEIPT!B150</f>
        <v>MCB 6AMP 2P</v>
      </c>
      <c r="C150" s="3" t="s">
        <v>7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10">
        <f t="shared" si="3"/>
        <v>0</v>
      </c>
    </row>
    <row r="151" spans="1:55" ht="15.75" customHeight="1" x14ac:dyDescent="0.35">
      <c r="A151" s="7">
        <v>150</v>
      </c>
      <c r="B151" s="3" t="str">
        <f>RECEIPT!B151</f>
        <v>MCB 63AMP 4P</v>
      </c>
      <c r="C151" s="3" t="s">
        <v>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10">
        <f t="shared" si="3"/>
        <v>0</v>
      </c>
    </row>
    <row r="152" spans="1:55" ht="15.75" customHeight="1" x14ac:dyDescent="0.35">
      <c r="A152" s="7">
        <v>151</v>
      </c>
      <c r="B152" s="3" t="str">
        <f>RECEIPT!B152</f>
        <v>MCB 63AMP 3P</v>
      </c>
      <c r="C152" s="3" t="s">
        <v>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10">
        <f t="shared" si="3"/>
        <v>0</v>
      </c>
    </row>
    <row r="153" spans="1:55" ht="15.75" customHeight="1" x14ac:dyDescent="0.35">
      <c r="A153" s="7">
        <v>152</v>
      </c>
      <c r="B153" s="3" t="str">
        <f>RECEIPT!B153</f>
        <v>MCB 32AMP 4P</v>
      </c>
      <c r="C153" s="3" t="s">
        <v>7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10">
        <f t="shared" si="3"/>
        <v>0</v>
      </c>
    </row>
    <row r="154" spans="1:55" ht="15.75" customHeight="1" x14ac:dyDescent="0.35">
      <c r="A154" s="7">
        <v>153</v>
      </c>
      <c r="B154" s="3" t="str">
        <f>RECEIPT!B154</f>
        <v>MCB 32AMP 3P</v>
      </c>
      <c r="C154" s="3" t="s">
        <v>7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10">
        <f t="shared" si="3"/>
        <v>0</v>
      </c>
    </row>
    <row r="155" spans="1:55" ht="15.75" customHeight="1" x14ac:dyDescent="0.35">
      <c r="A155" s="7">
        <v>154</v>
      </c>
      <c r="B155" s="3" t="str">
        <f>RECEIPT!B155</f>
        <v>MCB 32AMP 2P</v>
      </c>
      <c r="C155" s="3" t="s">
        <v>7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10">
        <f t="shared" si="3"/>
        <v>0</v>
      </c>
    </row>
    <row r="156" spans="1:55" ht="15.75" customHeight="1" x14ac:dyDescent="0.35">
      <c r="A156" s="7">
        <v>155</v>
      </c>
      <c r="B156" s="3" t="str">
        <f>RECEIPT!B156</f>
        <v>MCB 32AMP 1P</v>
      </c>
      <c r="C156" s="3" t="s">
        <v>7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10">
        <f t="shared" si="3"/>
        <v>0</v>
      </c>
    </row>
    <row r="157" spans="1:55" ht="15.75" customHeight="1" x14ac:dyDescent="0.35">
      <c r="A157" s="7">
        <v>156</v>
      </c>
      <c r="B157" s="3" t="str">
        <f>RECEIPT!B157</f>
        <v>MCB 20AMP 3P</v>
      </c>
      <c r="C157" s="3" t="s">
        <v>7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10">
        <f t="shared" si="3"/>
        <v>0</v>
      </c>
    </row>
    <row r="158" spans="1:55" ht="15.75" customHeight="1" x14ac:dyDescent="0.35">
      <c r="A158" s="7">
        <v>157</v>
      </c>
      <c r="B158" s="3" t="str">
        <f>RECEIPT!B158</f>
        <v>MCB 16AMP 4P</v>
      </c>
      <c r="C158" s="3" t="s">
        <v>7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10">
        <f t="shared" si="3"/>
        <v>0</v>
      </c>
    </row>
    <row r="159" spans="1:55" ht="15.75" customHeight="1" x14ac:dyDescent="0.35">
      <c r="A159" s="7">
        <v>158</v>
      </c>
      <c r="B159" s="3" t="str">
        <f>RECEIPT!B159</f>
        <v>MCB 10AMP 2P</v>
      </c>
      <c r="C159" s="3" t="s">
        <v>7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10">
        <f t="shared" si="3"/>
        <v>0</v>
      </c>
    </row>
    <row r="160" spans="1:55" ht="15.75" customHeight="1" x14ac:dyDescent="0.35">
      <c r="A160" s="7">
        <v>159</v>
      </c>
      <c r="B160" s="3" t="str">
        <f>RECEIPT!B160</f>
        <v>MCB 10AMP 1P</v>
      </c>
      <c r="C160" s="3" t="s">
        <v>7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10">
        <f t="shared" si="3"/>
        <v>0</v>
      </c>
    </row>
    <row r="161" spans="1:56" ht="15.75" customHeight="1" x14ac:dyDescent="0.35">
      <c r="A161" s="7">
        <v>160</v>
      </c>
      <c r="B161" s="3" t="str">
        <f>RECEIPT!B161</f>
        <v>MALE FEMALE 2 PIN</v>
      </c>
      <c r="C161" s="3" t="s">
        <v>7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>
        <v>1</v>
      </c>
      <c r="T161" s="3">
        <v>1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10">
        <f t="shared" si="3"/>
        <v>2</v>
      </c>
    </row>
    <row r="162" spans="1:56" ht="15.75" customHeight="1" x14ac:dyDescent="0.35">
      <c r="A162" s="7">
        <v>161</v>
      </c>
      <c r="B162" s="3" t="str">
        <f>RECEIPT!B162</f>
        <v>M SEAL</v>
      </c>
      <c r="C162" s="3" t="s">
        <v>7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10">
        <f t="shared" si="3"/>
        <v>0</v>
      </c>
    </row>
    <row r="163" spans="1:56" ht="15.75" customHeight="1" x14ac:dyDescent="0.35">
      <c r="A163" s="7">
        <v>162</v>
      </c>
      <c r="B163" s="3" t="str">
        <f>RECEIPT!B163</f>
        <v>LIMIT SWITCH</v>
      </c>
      <c r="C163" s="3" t="s">
        <v>7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10">
        <f t="shared" si="3"/>
        <v>0</v>
      </c>
    </row>
    <row r="164" spans="1:56" ht="15.75" customHeight="1" x14ac:dyDescent="0.35">
      <c r="A164" s="7">
        <v>163</v>
      </c>
      <c r="B164" s="3" t="str">
        <f>RECEIPT!B164</f>
        <v>LIGHTER</v>
      </c>
      <c r="C164" s="3" t="s">
        <v>7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10">
        <f t="shared" si="3"/>
        <v>0</v>
      </c>
    </row>
    <row r="165" spans="1:56" ht="15.75" customHeight="1" x14ac:dyDescent="0.35">
      <c r="A165" s="7">
        <v>164</v>
      </c>
      <c r="B165" s="3" t="str">
        <f>RECEIPT!B165</f>
        <v>JOINTER 8X6</v>
      </c>
      <c r="C165" s="3" t="s">
        <v>7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>
        <v>1</v>
      </c>
      <c r="AW165" s="3"/>
      <c r="AX165" s="3"/>
      <c r="AY165" s="3"/>
      <c r="AZ165" s="3"/>
      <c r="BA165" s="3"/>
      <c r="BB165" s="3"/>
      <c r="BC165" s="10">
        <f t="shared" si="3"/>
        <v>1</v>
      </c>
    </row>
    <row r="166" spans="1:56" ht="15.75" customHeight="1" x14ac:dyDescent="0.35">
      <c r="A166" s="7">
        <v>165</v>
      </c>
      <c r="B166" s="3" t="str">
        <f>RECEIPT!B166</f>
        <v>JOINTER 8MM</v>
      </c>
      <c r="C166" s="3" t="s">
        <v>7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>
        <v>2</v>
      </c>
      <c r="AW166" s="3"/>
      <c r="AX166" s="3"/>
      <c r="AY166" s="3"/>
      <c r="AZ166" s="3"/>
      <c r="BA166" s="3"/>
      <c r="BB166" s="3"/>
      <c r="BC166" s="10">
        <f t="shared" si="3"/>
        <v>2</v>
      </c>
    </row>
    <row r="167" spans="1:56" ht="15.75" customHeight="1" x14ac:dyDescent="0.35">
      <c r="A167" s="7">
        <v>166</v>
      </c>
      <c r="B167" s="3" t="str">
        <f>RECEIPT!B167</f>
        <v>JOINTER 6MM</v>
      </c>
      <c r="C167" s="3" t="s">
        <v>7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10">
        <f t="shared" si="3"/>
        <v>0</v>
      </c>
    </row>
    <row r="168" spans="1:56" ht="15.75" customHeight="1" x14ac:dyDescent="0.35">
      <c r="A168" s="7">
        <v>167</v>
      </c>
      <c r="B168" s="3" t="str">
        <f>RECEIPT!B168</f>
        <v>JOINTER 12MM</v>
      </c>
      <c r="C168" s="3" t="s">
        <v>7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>
        <v>1</v>
      </c>
      <c r="AW168" s="3"/>
      <c r="AX168" s="3"/>
      <c r="AY168" s="3"/>
      <c r="AZ168" s="3"/>
      <c r="BA168" s="3"/>
      <c r="BB168" s="3"/>
      <c r="BC168" s="10">
        <f t="shared" si="3"/>
        <v>1</v>
      </c>
    </row>
    <row r="169" spans="1:56" ht="15.75" customHeight="1" x14ac:dyDescent="0.35">
      <c r="A169" s="7">
        <v>168</v>
      </c>
      <c r="B169" s="3" t="str">
        <f>RECEIPT!B169</f>
        <v>JOINTER 10X8</v>
      </c>
      <c r="C169" s="3" t="s">
        <v>7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10">
        <f t="shared" si="3"/>
        <v>0</v>
      </c>
    </row>
    <row r="170" spans="1:56" ht="15.75" customHeight="1" x14ac:dyDescent="0.35">
      <c r="A170" s="7">
        <v>169</v>
      </c>
      <c r="B170" s="3" t="str">
        <f>RECEIPT!B170</f>
        <v>JOINTER 10X6</v>
      </c>
      <c r="C170" s="3" t="s">
        <v>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10">
        <f t="shared" si="3"/>
        <v>0</v>
      </c>
    </row>
    <row r="171" spans="1:56" ht="15.75" customHeight="1" x14ac:dyDescent="0.35">
      <c r="A171" s="7">
        <v>170</v>
      </c>
      <c r="B171" s="3" t="str">
        <f>RECEIPT!B171</f>
        <v>JOINTER 10MM</v>
      </c>
      <c r="C171" s="3" t="s">
        <v>7</v>
      </c>
      <c r="D171" s="3"/>
      <c r="E171" s="3"/>
      <c r="F171" s="3"/>
      <c r="G171" s="3"/>
      <c r="H171" s="3"/>
      <c r="I171" s="3"/>
      <c r="J171" s="3"/>
      <c r="K171" s="3"/>
      <c r="L171" s="3">
        <v>1</v>
      </c>
      <c r="M171" s="3"/>
      <c r="N171" s="3">
        <v>1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2</v>
      </c>
      <c r="AE171" s="3">
        <v>2</v>
      </c>
      <c r="AF171" s="3"/>
      <c r="AG171" s="3"/>
      <c r="AH171" s="3"/>
      <c r="AI171" s="3"/>
      <c r="AJ171" s="3"/>
      <c r="AK171" s="3"/>
      <c r="AL171" s="3">
        <v>2</v>
      </c>
      <c r="AM171" s="3">
        <v>1</v>
      </c>
      <c r="AN171" s="3"/>
      <c r="AO171" s="3"/>
      <c r="AP171" s="3"/>
      <c r="AQ171" s="3"/>
      <c r="AR171" s="3"/>
      <c r="AS171" s="3"/>
      <c r="AT171" s="3"/>
      <c r="AU171" s="3"/>
      <c r="AV171" s="3">
        <v>2</v>
      </c>
      <c r="AW171" s="3">
        <v>1</v>
      </c>
      <c r="AX171" s="3"/>
      <c r="AY171" s="3"/>
      <c r="AZ171" s="3"/>
      <c r="BA171" s="3"/>
      <c r="BB171" s="3"/>
      <c r="BC171" s="10">
        <f t="shared" si="3"/>
        <v>12</v>
      </c>
      <c r="BD171">
        <v>1</v>
      </c>
    </row>
    <row r="172" spans="1:56" ht="15.75" customHeight="1" x14ac:dyDescent="0.35">
      <c r="A172" s="7">
        <v>171</v>
      </c>
      <c r="B172" s="3" t="str">
        <f>RECEIPT!B172</f>
        <v>INDICATOR RED</v>
      </c>
      <c r="C172" s="3" t="s">
        <v>7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10">
        <f t="shared" si="3"/>
        <v>0</v>
      </c>
    </row>
    <row r="173" spans="1:56" ht="15.75" customHeight="1" x14ac:dyDescent="0.35">
      <c r="A173" s="7">
        <v>172</v>
      </c>
      <c r="B173" s="3" t="str">
        <f>RECEIPT!B173</f>
        <v>INDICATOR  YELLOW</v>
      </c>
      <c r="C173" s="3" t="s">
        <v>7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10">
        <f t="shared" si="3"/>
        <v>0</v>
      </c>
    </row>
    <row r="174" spans="1:56" ht="15.75" customHeight="1" x14ac:dyDescent="0.35">
      <c r="A174" s="7">
        <v>173</v>
      </c>
      <c r="B174" s="3" t="str">
        <f>RECEIPT!B174</f>
        <v>INDICATOR  BLUE</v>
      </c>
      <c r="C174" s="3" t="s">
        <v>7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10">
        <f t="shared" si="3"/>
        <v>0</v>
      </c>
    </row>
    <row r="175" spans="1:56" ht="15.75" customHeight="1" x14ac:dyDescent="0.35">
      <c r="A175" s="7">
        <v>174</v>
      </c>
      <c r="B175" s="3" t="str">
        <f>RECEIPT!B175</f>
        <v>INCH TAPE</v>
      </c>
      <c r="C175" s="3" t="s">
        <v>7</v>
      </c>
      <c r="D175" s="3">
        <v>1</v>
      </c>
      <c r="E175" s="3"/>
      <c r="F175" s="3"/>
      <c r="G175" s="3"/>
      <c r="H175" s="3">
        <v>1</v>
      </c>
      <c r="I175" s="3">
        <v>1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>
        <v>1</v>
      </c>
      <c r="Z175" s="3"/>
      <c r="AA175" s="3"/>
      <c r="AB175" s="3">
        <v>1</v>
      </c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>
        <v>1</v>
      </c>
      <c r="BB175" s="3"/>
      <c r="BC175" s="10">
        <f t="shared" si="3"/>
        <v>7</v>
      </c>
    </row>
    <row r="176" spans="1:56" ht="15.75" customHeight="1" x14ac:dyDescent="0.35">
      <c r="A176" s="7">
        <v>175</v>
      </c>
      <c r="B176" s="3">
        <f>RECEIPT!B176</f>
        <v>0</v>
      </c>
      <c r="C176" s="3" t="s">
        <v>7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10">
        <f t="shared" si="3"/>
        <v>0</v>
      </c>
    </row>
    <row r="177" spans="1:55" ht="15.75" customHeight="1" x14ac:dyDescent="0.35">
      <c r="A177" s="7">
        <v>176</v>
      </c>
      <c r="B177" s="3">
        <f>RECEIPT!B177</f>
        <v>0</v>
      </c>
      <c r="C177" s="3" t="s">
        <v>7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10">
        <f t="shared" si="3"/>
        <v>0</v>
      </c>
    </row>
    <row r="178" spans="1:55" ht="15.75" customHeight="1" x14ac:dyDescent="0.35">
      <c r="A178" s="7">
        <v>177</v>
      </c>
      <c r="B178" s="3">
        <f>RECEIPT!B178</f>
        <v>0</v>
      </c>
      <c r="C178" s="3" t="s">
        <v>7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10">
        <f t="shared" si="3"/>
        <v>0</v>
      </c>
    </row>
    <row r="179" spans="1:55" ht="15.75" customHeight="1" x14ac:dyDescent="0.35">
      <c r="A179" s="7">
        <v>178</v>
      </c>
      <c r="B179" s="3" t="str">
        <f>RECEIPT!B179</f>
        <v>HINGE</v>
      </c>
      <c r="C179" s="3" t="s">
        <v>7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10">
        <f t="shared" si="3"/>
        <v>0</v>
      </c>
    </row>
    <row r="180" spans="1:55" ht="15.75" customHeight="1" x14ac:dyDescent="0.35">
      <c r="A180" s="7">
        <v>179</v>
      </c>
      <c r="B180" s="3" t="str">
        <f>RECEIPT!B180</f>
        <v>HEATER MALE FEMALE CONNECTOR</v>
      </c>
      <c r="C180" s="3" t="s">
        <v>7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10">
        <f t="shared" si="3"/>
        <v>0</v>
      </c>
    </row>
    <row r="181" spans="1:55" ht="15.75" customHeight="1" x14ac:dyDescent="0.35">
      <c r="A181" s="7">
        <v>180</v>
      </c>
      <c r="B181" s="3" t="str">
        <f>RECEIPT!B181</f>
        <v>HEAT GUN</v>
      </c>
      <c r="C181" s="3" t="s">
        <v>7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>
        <v>1</v>
      </c>
      <c r="W181" s="3"/>
      <c r="X181" s="3"/>
      <c r="Y181" s="3"/>
      <c r="Z181" s="3"/>
      <c r="AA181" s="3"/>
      <c r="AB181" s="3"/>
      <c r="AC181" s="3"/>
      <c r="AD181" s="3"/>
      <c r="AE181" s="3">
        <v>1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10">
        <f t="shared" si="3"/>
        <v>2</v>
      </c>
    </row>
    <row r="182" spans="1:55" ht="15.75" customHeight="1" x14ac:dyDescent="0.35">
      <c r="A182" s="7">
        <v>181</v>
      </c>
      <c r="B182" s="3" t="str">
        <f>RECEIPT!B182</f>
        <v>HALOZEN STAND</v>
      </c>
      <c r="C182" s="3" t="s">
        <v>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10">
        <f t="shared" si="3"/>
        <v>0</v>
      </c>
    </row>
    <row r="183" spans="1:55" ht="15.75" customHeight="1" x14ac:dyDescent="0.35">
      <c r="A183" s="7">
        <v>182</v>
      </c>
      <c r="B183" s="3" t="str">
        <f>RECEIPT!B183</f>
        <v>HALOZEN 500W</v>
      </c>
      <c r="C183" s="3" t="s">
        <v>7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10">
        <f t="shared" si="3"/>
        <v>0</v>
      </c>
    </row>
    <row r="184" spans="1:55" ht="15.75" customHeight="1" x14ac:dyDescent="0.35">
      <c r="A184" s="7">
        <v>183</v>
      </c>
      <c r="B184" s="3" t="str">
        <f>RECEIPT!B184</f>
        <v>GUN HEATER</v>
      </c>
      <c r="C184" s="3" t="s">
        <v>7</v>
      </c>
      <c r="D184" s="3"/>
      <c r="E184" s="3"/>
      <c r="F184" s="3"/>
      <c r="G184" s="3"/>
      <c r="H184" s="3"/>
      <c r="I184" s="3"/>
      <c r="J184" s="3"/>
      <c r="K184" s="3"/>
      <c r="L184" s="3">
        <v>1</v>
      </c>
      <c r="M184" s="3"/>
      <c r="N184" s="3"/>
      <c r="O184" s="3"/>
      <c r="P184" s="3"/>
      <c r="Q184" s="3"/>
      <c r="R184" s="3"/>
      <c r="S184" s="3"/>
      <c r="T184" s="3"/>
      <c r="U184" s="3">
        <v>1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>
        <v>1</v>
      </c>
      <c r="AP184" s="3"/>
      <c r="AQ184" s="3"/>
      <c r="AR184" s="3"/>
      <c r="AS184" s="3"/>
      <c r="AT184" s="3">
        <v>1</v>
      </c>
      <c r="AU184" s="3"/>
      <c r="AV184" s="3"/>
      <c r="AW184" s="3"/>
      <c r="AX184" s="3"/>
      <c r="AY184" s="3"/>
      <c r="AZ184" s="3"/>
      <c r="BA184" s="3"/>
      <c r="BB184" s="3"/>
      <c r="BC184" s="10">
        <f t="shared" si="3"/>
        <v>4</v>
      </c>
    </row>
    <row r="185" spans="1:55" ht="15.75" customHeight="1" x14ac:dyDescent="0.35">
      <c r="A185" s="7">
        <v>184</v>
      </c>
      <c r="B185" s="3" t="str">
        <f>RECEIPT!B185</f>
        <v>GRINDING  WHEEL 5"</v>
      </c>
      <c r="C185" s="3" t="s">
        <v>7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10">
        <f t="shared" si="3"/>
        <v>0</v>
      </c>
    </row>
    <row r="186" spans="1:55" ht="15.75" customHeight="1" x14ac:dyDescent="0.35">
      <c r="A186" s="7">
        <v>185</v>
      </c>
      <c r="B186" s="3" t="str">
        <f>RECEIPT!B186</f>
        <v>GRINDING  WHEEL 4"</v>
      </c>
      <c r="C186" s="3" t="s">
        <v>7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10">
        <f t="shared" si="3"/>
        <v>0</v>
      </c>
    </row>
    <row r="187" spans="1:55" ht="15.75" customHeight="1" x14ac:dyDescent="0.35">
      <c r="A187" s="7">
        <v>186</v>
      </c>
      <c r="B187" s="3" t="str">
        <f>RECEIPT!B187</f>
        <v>GREASE LGHP 2R/1</v>
      </c>
      <c r="C187" s="3" t="s">
        <v>7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10">
        <f t="shared" si="3"/>
        <v>0</v>
      </c>
    </row>
    <row r="188" spans="1:55" ht="15.75" customHeight="1" x14ac:dyDescent="0.35">
      <c r="A188" s="7">
        <v>187</v>
      </c>
      <c r="B188" s="3" t="str">
        <f>RECEIPT!B188</f>
        <v>GLASS TAPE</v>
      </c>
      <c r="C188" s="3" t="s">
        <v>7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>
        <v>1</v>
      </c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1</v>
      </c>
      <c r="AZ188" s="3"/>
      <c r="BA188" s="3"/>
      <c r="BB188" s="3"/>
      <c r="BC188" s="10">
        <f t="shared" si="3"/>
        <v>2</v>
      </c>
    </row>
    <row r="189" spans="1:55" ht="15.75" customHeight="1" x14ac:dyDescent="0.35">
      <c r="A189" s="7">
        <v>188</v>
      </c>
      <c r="B189" s="3" t="str">
        <f>RECEIPT!B189</f>
        <v>GLASS FUSE BASE 15A</v>
      </c>
      <c r="C189" s="3" t="s">
        <v>7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10">
        <f t="shared" si="3"/>
        <v>0</v>
      </c>
    </row>
    <row r="190" spans="1:55" ht="15.75" customHeight="1" x14ac:dyDescent="0.35">
      <c r="A190" s="7">
        <v>189</v>
      </c>
      <c r="B190" s="3" t="str">
        <f>RECEIPT!B190</f>
        <v>GLASS FUSE 6A</v>
      </c>
      <c r="C190" s="3" t="s">
        <v>7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10">
        <f t="shared" si="3"/>
        <v>0</v>
      </c>
    </row>
    <row r="191" spans="1:55" ht="15.75" customHeight="1" x14ac:dyDescent="0.35">
      <c r="A191" s="7">
        <v>190</v>
      </c>
      <c r="B191" s="3" t="str">
        <f>RECEIPT!B191</f>
        <v>GLASS FUSE 5A</v>
      </c>
      <c r="C191" s="3" t="s">
        <v>7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10">
        <f t="shared" si="3"/>
        <v>0</v>
      </c>
    </row>
    <row r="192" spans="1:55" ht="15.75" customHeight="1" x14ac:dyDescent="0.35">
      <c r="A192" s="7">
        <v>191</v>
      </c>
      <c r="B192" s="3" t="str">
        <f>RECEIPT!B192</f>
        <v>GLASS FUSE 35A</v>
      </c>
      <c r="C192" s="3" t="s">
        <v>7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10">
        <f t="shared" si="3"/>
        <v>0</v>
      </c>
    </row>
    <row r="193" spans="1:55" ht="15.75" customHeight="1" x14ac:dyDescent="0.35">
      <c r="A193" s="7">
        <v>192</v>
      </c>
      <c r="B193" s="3" t="str">
        <f>RECEIPT!B193</f>
        <v>GLASS FUSE 32A</v>
      </c>
      <c r="C193" s="3" t="s">
        <v>7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10">
        <f t="shared" si="3"/>
        <v>0</v>
      </c>
    </row>
    <row r="194" spans="1:55" ht="15.75" customHeight="1" x14ac:dyDescent="0.35">
      <c r="A194" s="7">
        <v>193</v>
      </c>
      <c r="B194" s="3" t="str">
        <f>RECEIPT!B194</f>
        <v>GLASS FUSE 15A</v>
      </c>
      <c r="C194" s="3" t="s">
        <v>7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10">
        <f t="shared" ref="BC194:BC257" si="4">SUM(D194:BB194)</f>
        <v>0</v>
      </c>
    </row>
    <row r="195" spans="1:55" ht="15.75" customHeight="1" x14ac:dyDescent="0.35">
      <c r="A195" s="7">
        <v>194</v>
      </c>
      <c r="B195" s="3" t="str">
        <f>RECEIPT!B195</f>
        <v>GI HYDRAULIC NIPPLE D TYPE 3/4"</v>
      </c>
      <c r="C195" s="3" t="s">
        <v>7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10">
        <f t="shared" si="4"/>
        <v>0</v>
      </c>
    </row>
    <row r="196" spans="1:55" ht="15.75" customHeight="1" x14ac:dyDescent="0.35">
      <c r="A196" s="7">
        <v>195</v>
      </c>
      <c r="B196" s="3" t="str">
        <f>RECEIPT!B196</f>
        <v>GI HYDRAULIC NIPPLE C TYPE 3/4" X 1/2"</v>
      </c>
      <c r="C196" s="3" t="s">
        <v>7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10">
        <f t="shared" si="4"/>
        <v>0</v>
      </c>
    </row>
    <row r="197" spans="1:55" ht="15.75" customHeight="1" x14ac:dyDescent="0.35">
      <c r="A197" s="7">
        <v>196</v>
      </c>
      <c r="B197" s="3" t="str">
        <f>RECEIPT!B197</f>
        <v>GI HYDRAULIC NIPPLE C TYPE 3/4"</v>
      </c>
      <c r="C197" s="3" t="s">
        <v>7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10">
        <f t="shared" si="4"/>
        <v>0</v>
      </c>
    </row>
    <row r="198" spans="1:55" ht="15.75" customHeight="1" x14ac:dyDescent="0.35">
      <c r="A198" s="7">
        <v>197</v>
      </c>
      <c r="B198" s="3" t="str">
        <f>RECEIPT!B198</f>
        <v>GI HYDRAULIC NIPPLE C TYPE 1/2"</v>
      </c>
      <c r="C198" s="3" t="s">
        <v>7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10">
        <f t="shared" si="4"/>
        <v>0</v>
      </c>
    </row>
    <row r="199" spans="1:55" ht="15.75" customHeight="1" x14ac:dyDescent="0.35">
      <c r="A199" s="7">
        <v>198</v>
      </c>
      <c r="B199" s="3" t="str">
        <f>RECEIPT!B199</f>
        <v>GI HYDRAULIC NIPPLE C TYPE 1" X 3/4"</v>
      </c>
      <c r="C199" s="3" t="s">
        <v>7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10">
        <f t="shared" si="4"/>
        <v>0</v>
      </c>
    </row>
    <row r="200" spans="1:55" ht="15.75" customHeight="1" x14ac:dyDescent="0.35">
      <c r="A200" s="7">
        <v>199</v>
      </c>
      <c r="B200" s="3" t="str">
        <f>RECEIPT!B200</f>
        <v>GI HYDRAULIC NIPPLE C TYPE 1" X 1/2"</v>
      </c>
      <c r="C200" s="3" t="s">
        <v>7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10">
        <f t="shared" si="4"/>
        <v>0</v>
      </c>
    </row>
    <row r="201" spans="1:55" ht="15.75" customHeight="1" x14ac:dyDescent="0.35">
      <c r="A201" s="7">
        <v>200</v>
      </c>
      <c r="B201" s="3" t="str">
        <f>RECEIPT!B201</f>
        <v>GI HYDRAULIC NIPPLE C TYPE 1"</v>
      </c>
      <c r="C201" s="3" t="s">
        <v>7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10">
        <f t="shared" si="4"/>
        <v>0</v>
      </c>
    </row>
    <row r="202" spans="1:55" ht="15.75" customHeight="1" x14ac:dyDescent="0.35">
      <c r="A202" s="7">
        <v>201</v>
      </c>
      <c r="B202" s="3" t="str">
        <f>RECEIPT!B202</f>
        <v>GI HYDRAULIC NIPPLE 3/4"</v>
      </c>
      <c r="C202" s="3" t="s">
        <v>7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10">
        <f t="shared" si="4"/>
        <v>0</v>
      </c>
    </row>
    <row r="203" spans="1:55" ht="15.75" customHeight="1" x14ac:dyDescent="0.35">
      <c r="A203" s="7">
        <v>202</v>
      </c>
      <c r="B203" s="3" t="str">
        <f>RECEIPT!B203</f>
        <v>GI HYDRAULIC NIPPLE 1.5"X2"</v>
      </c>
      <c r="C203" s="3" t="s">
        <v>7</v>
      </c>
      <c r="D203" s="3"/>
      <c r="E203" s="3"/>
      <c r="F203" s="3"/>
      <c r="G203" s="3"/>
      <c r="H203" s="3"/>
      <c r="I203" s="3"/>
      <c r="J203" s="3">
        <v>2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10">
        <f t="shared" si="4"/>
        <v>2</v>
      </c>
    </row>
    <row r="204" spans="1:55" ht="15.75" customHeight="1" x14ac:dyDescent="0.35">
      <c r="A204" s="7">
        <v>203</v>
      </c>
      <c r="B204" s="3" t="str">
        <f>RECEIPT!B204</f>
        <v>G.I.HYDRAULIC NIPPLE 1/4" X 3/8"</v>
      </c>
      <c r="C204" s="3" t="s">
        <v>7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10">
        <f t="shared" si="4"/>
        <v>0</v>
      </c>
    </row>
    <row r="205" spans="1:55" ht="15.75" customHeight="1" x14ac:dyDescent="0.35">
      <c r="A205" s="7">
        <v>204</v>
      </c>
      <c r="B205" s="3" t="str">
        <f>RECEIPT!B205</f>
        <v>G.I.HYDRAULIC NIPPLE 1/4"</v>
      </c>
      <c r="C205" s="3" t="s">
        <v>7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10">
        <f t="shared" si="4"/>
        <v>0</v>
      </c>
    </row>
    <row r="206" spans="1:55" ht="15.75" customHeight="1" x14ac:dyDescent="0.35">
      <c r="A206" s="7">
        <v>205</v>
      </c>
      <c r="B206" s="3" t="str">
        <f>RECEIPT!B206</f>
        <v>G.I.HYDRAULIC NIPPLE 1/2" X 3/8"</v>
      </c>
      <c r="C206" s="3" t="s">
        <v>7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10">
        <f t="shared" si="4"/>
        <v>0</v>
      </c>
    </row>
    <row r="207" spans="1:55" ht="15.75" customHeight="1" x14ac:dyDescent="0.35">
      <c r="A207" s="7">
        <v>206</v>
      </c>
      <c r="B207" s="3" t="str">
        <f>RECEIPT!B207</f>
        <v>G.I.HEX NIPPLE 1/4"</v>
      </c>
      <c r="C207" s="3" t="s">
        <v>7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10">
        <f t="shared" si="4"/>
        <v>0</v>
      </c>
    </row>
    <row r="208" spans="1:55" ht="15.75" customHeight="1" x14ac:dyDescent="0.35">
      <c r="A208" s="7">
        <v>207</v>
      </c>
      <c r="B208" s="3" t="str">
        <f>RECEIPT!B208</f>
        <v>FUSE BASE 32A</v>
      </c>
      <c r="C208" s="3" t="s">
        <v>7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10">
        <f t="shared" si="4"/>
        <v>0</v>
      </c>
    </row>
    <row r="209" spans="1:55" ht="15.75" customHeight="1" x14ac:dyDescent="0.35">
      <c r="A209" s="7">
        <v>208</v>
      </c>
      <c r="B209" s="3" t="str">
        <f>RECEIPT!B209</f>
        <v>FRL 1/8"</v>
      </c>
      <c r="C209" s="3" t="s">
        <v>7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10">
        <f t="shared" si="4"/>
        <v>0</v>
      </c>
    </row>
    <row r="210" spans="1:55" ht="15.75" customHeight="1" x14ac:dyDescent="0.35">
      <c r="A210" s="7">
        <v>209</v>
      </c>
      <c r="B210" s="3" t="str">
        <f>RECEIPT!B210</f>
        <v>FRL 1/2"</v>
      </c>
      <c r="C210" s="3" t="s">
        <v>7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10">
        <f t="shared" si="4"/>
        <v>0</v>
      </c>
    </row>
    <row r="211" spans="1:55" ht="15.75" customHeight="1" x14ac:dyDescent="0.35">
      <c r="A211" s="7">
        <v>210</v>
      </c>
      <c r="B211" s="3" t="str">
        <f>RECEIPT!B211</f>
        <v>FOOT SWITCH</v>
      </c>
      <c r="C211" s="3" t="s">
        <v>7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10">
        <f t="shared" si="4"/>
        <v>0</v>
      </c>
    </row>
    <row r="212" spans="1:55" ht="15.75" customHeight="1" x14ac:dyDescent="0.35">
      <c r="A212" s="7">
        <v>211</v>
      </c>
      <c r="B212" s="3" t="str">
        <f>RECEIPT!B212</f>
        <v>FLOW CONTROL VALVE 3/8 X 10</v>
      </c>
      <c r="C212" s="3" t="s">
        <v>7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10">
        <f t="shared" si="4"/>
        <v>0</v>
      </c>
    </row>
    <row r="213" spans="1:55" ht="15.75" customHeight="1" x14ac:dyDescent="0.35">
      <c r="A213" s="7">
        <v>212</v>
      </c>
      <c r="B213" s="3" t="str">
        <f>RECEIPT!B213</f>
        <v>FLOW CONTROL VALVE 1/4 X 10</v>
      </c>
      <c r="C213" s="3" t="s">
        <v>7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10">
        <f t="shared" si="4"/>
        <v>0</v>
      </c>
    </row>
    <row r="214" spans="1:55" ht="15.75" customHeight="1" x14ac:dyDescent="0.35">
      <c r="A214" s="7">
        <v>213</v>
      </c>
      <c r="B214" s="3" t="str">
        <f>RECEIPT!B214</f>
        <v>FLOW CONTROL VALVE 1/2 X 12</v>
      </c>
      <c r="C214" s="3" t="s">
        <v>7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10">
        <f t="shared" si="4"/>
        <v>0</v>
      </c>
    </row>
    <row r="215" spans="1:55" ht="15.75" customHeight="1" x14ac:dyDescent="0.35">
      <c r="A215" s="7">
        <v>214</v>
      </c>
      <c r="B215" s="3" t="str">
        <f>RECEIPT!B215</f>
        <v>FLOW CONTROL VALVE 1/2 X 10</v>
      </c>
      <c r="C215" s="3" t="s">
        <v>7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10">
        <f t="shared" si="4"/>
        <v>0</v>
      </c>
    </row>
    <row r="216" spans="1:55" ht="15.75" customHeight="1" x14ac:dyDescent="0.35">
      <c r="A216" s="7">
        <v>215</v>
      </c>
      <c r="B216" s="3" t="str">
        <f>RECEIPT!B216</f>
        <v>FLOW CONTROL VALVE  3/8 X 12</v>
      </c>
      <c r="C216" s="3" t="s">
        <v>7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10">
        <f t="shared" si="4"/>
        <v>0</v>
      </c>
    </row>
    <row r="217" spans="1:55" ht="15.75" customHeight="1" x14ac:dyDescent="0.35">
      <c r="A217" s="7">
        <v>216</v>
      </c>
      <c r="B217" s="3" t="str">
        <f>RECEIPT!B217</f>
        <v>FLOOD LIGHT 50W</v>
      </c>
      <c r="C217" s="3" t="s">
        <v>7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>
        <v>1</v>
      </c>
      <c r="T217" s="3"/>
      <c r="U217" s="3">
        <v>1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10">
        <f t="shared" si="4"/>
        <v>2</v>
      </c>
    </row>
    <row r="218" spans="1:55" ht="15.75" customHeight="1" x14ac:dyDescent="0.35">
      <c r="A218" s="7">
        <v>217</v>
      </c>
      <c r="B218" s="3" t="str">
        <f>RECEIPT!B218</f>
        <v>EXT.FAN MOTOR 18"</v>
      </c>
      <c r="C218" s="3" t="s">
        <v>7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10">
        <f t="shared" si="4"/>
        <v>0</v>
      </c>
    </row>
    <row r="219" spans="1:55" ht="15.75" customHeight="1" x14ac:dyDescent="0.35">
      <c r="A219" s="7">
        <v>218</v>
      </c>
      <c r="B219" s="3" t="str">
        <f>RECEIPT!B219</f>
        <v>ELBOW 3/8 X 8</v>
      </c>
      <c r="C219" s="3" t="s">
        <v>7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10">
        <f t="shared" si="4"/>
        <v>0</v>
      </c>
    </row>
    <row r="220" spans="1:55" ht="15.75" customHeight="1" x14ac:dyDescent="0.35">
      <c r="A220" s="7">
        <v>219</v>
      </c>
      <c r="B220" s="3" t="str">
        <f>RECEIPT!B220</f>
        <v>ELBOW 3/8 X 12</v>
      </c>
      <c r="C220" s="3" t="s">
        <v>7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10">
        <f t="shared" si="4"/>
        <v>0</v>
      </c>
    </row>
    <row r="221" spans="1:55" ht="15.75" customHeight="1" x14ac:dyDescent="0.35">
      <c r="A221" s="7">
        <v>220</v>
      </c>
      <c r="B221" s="3" t="str">
        <f>RECEIPT!B221</f>
        <v>ELBOW 3/8 X 10</v>
      </c>
      <c r="C221" s="3" t="s">
        <v>7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10">
        <f t="shared" si="4"/>
        <v>0</v>
      </c>
    </row>
    <row r="222" spans="1:55" ht="15.75" customHeight="1" x14ac:dyDescent="0.35">
      <c r="A222" s="7">
        <v>221</v>
      </c>
      <c r="B222" s="3" t="str">
        <f>RECEIPT!B222</f>
        <v>ELBOW 1/4 X 8</v>
      </c>
      <c r="C222" s="3" t="s">
        <v>7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10">
        <f t="shared" si="4"/>
        <v>0</v>
      </c>
    </row>
    <row r="223" spans="1:55" ht="15.75" customHeight="1" x14ac:dyDescent="0.35">
      <c r="A223" s="7">
        <v>222</v>
      </c>
      <c r="B223" s="3" t="str">
        <f>RECEIPT!B223</f>
        <v>ELBOW 1/4 X 8</v>
      </c>
      <c r="C223" s="3" t="s">
        <v>7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10">
        <f t="shared" si="4"/>
        <v>0</v>
      </c>
    </row>
    <row r="224" spans="1:55" ht="15.75" customHeight="1" x14ac:dyDescent="0.35">
      <c r="A224" s="7">
        <v>223</v>
      </c>
      <c r="B224" s="3" t="str">
        <f>RECEIPT!B224</f>
        <v>ELBOW 1/4 X 6</v>
      </c>
      <c r="C224" s="3" t="s">
        <v>7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10">
        <f t="shared" si="4"/>
        <v>0</v>
      </c>
    </row>
    <row r="225" spans="1:55" ht="15.75" customHeight="1" x14ac:dyDescent="0.35">
      <c r="A225" s="7">
        <v>224</v>
      </c>
      <c r="B225" s="3" t="str">
        <f>RECEIPT!B225</f>
        <v>ELBOW 1/4 X 12</v>
      </c>
      <c r="C225" s="3" t="s">
        <v>7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10">
        <f t="shared" si="4"/>
        <v>0</v>
      </c>
    </row>
    <row r="226" spans="1:55" ht="15.75" customHeight="1" x14ac:dyDescent="0.35">
      <c r="A226" s="7">
        <v>225</v>
      </c>
      <c r="B226" s="3" t="str">
        <f>RECEIPT!B226</f>
        <v>ELBOW 1/4 X 10</v>
      </c>
      <c r="C226" s="3" t="s">
        <v>7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10">
        <f t="shared" si="4"/>
        <v>0</v>
      </c>
    </row>
    <row r="227" spans="1:55" ht="15.75" customHeight="1" x14ac:dyDescent="0.35">
      <c r="A227" s="7">
        <v>226</v>
      </c>
      <c r="B227" s="3" t="str">
        <f>RECEIPT!B227</f>
        <v>ELBOW 1/4 X 10</v>
      </c>
      <c r="C227" s="3" t="s">
        <v>7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10">
        <f t="shared" si="4"/>
        <v>0</v>
      </c>
    </row>
    <row r="228" spans="1:55" ht="15.75" customHeight="1" x14ac:dyDescent="0.35">
      <c r="A228" s="7">
        <v>227</v>
      </c>
      <c r="B228" s="3" t="str">
        <f>RECEIPT!B228</f>
        <v>ELBOW 1/2 X 8</v>
      </c>
      <c r="C228" s="3" t="s">
        <v>7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10">
        <f t="shared" si="4"/>
        <v>0</v>
      </c>
    </row>
    <row r="229" spans="1:55" ht="15.75" customHeight="1" x14ac:dyDescent="0.35">
      <c r="A229" s="7">
        <v>228</v>
      </c>
      <c r="B229" s="3" t="str">
        <f>RECEIPT!B229</f>
        <v>ELBOW 1/2 X 8</v>
      </c>
      <c r="C229" s="3" t="s">
        <v>7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10">
        <f t="shared" si="4"/>
        <v>0</v>
      </c>
    </row>
    <row r="230" spans="1:55" ht="15.75" customHeight="1" x14ac:dyDescent="0.35">
      <c r="A230" s="7">
        <v>229</v>
      </c>
      <c r="B230" s="3" t="str">
        <f>RECEIPT!B230</f>
        <v>ELBOW 1/2 X 6</v>
      </c>
      <c r="C230" s="3" t="s">
        <v>7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10">
        <f t="shared" si="4"/>
        <v>0</v>
      </c>
    </row>
    <row r="231" spans="1:55" ht="15.75" customHeight="1" x14ac:dyDescent="0.35">
      <c r="A231" s="7">
        <v>230</v>
      </c>
      <c r="B231" s="3" t="str">
        <f>RECEIPT!B231</f>
        <v>ELBOW 1/2 X 6</v>
      </c>
      <c r="C231" s="3" t="s">
        <v>7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10">
        <f t="shared" si="4"/>
        <v>0</v>
      </c>
    </row>
    <row r="232" spans="1:55" ht="15.75" customHeight="1" x14ac:dyDescent="0.35">
      <c r="A232" s="7">
        <v>231</v>
      </c>
      <c r="B232" s="3" t="str">
        <f>RECEIPT!B232</f>
        <v>ELBOW 1/2 X 12</v>
      </c>
      <c r="C232" s="3" t="s">
        <v>7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10">
        <f t="shared" si="4"/>
        <v>0</v>
      </c>
    </row>
    <row r="233" spans="1:55" ht="15.75" customHeight="1" x14ac:dyDescent="0.35">
      <c r="A233" s="7">
        <v>232</v>
      </c>
      <c r="B233" s="3" t="str">
        <f>RECEIPT!B233</f>
        <v>DVA - MT4Y-AV-4N</v>
      </c>
      <c r="C233" s="3" t="s">
        <v>7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10">
        <f t="shared" si="4"/>
        <v>0</v>
      </c>
    </row>
    <row r="234" spans="1:55" ht="15.75" customHeight="1" x14ac:dyDescent="0.35">
      <c r="A234" s="7">
        <v>233</v>
      </c>
      <c r="B234" s="3" t="str">
        <f>RECEIPT!B234</f>
        <v>DRIVE FAN</v>
      </c>
      <c r="C234" s="3" t="s">
        <v>7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10">
        <f t="shared" si="4"/>
        <v>0</v>
      </c>
    </row>
    <row r="235" spans="1:55" ht="15.75" customHeight="1" x14ac:dyDescent="0.35">
      <c r="A235" s="7">
        <v>234</v>
      </c>
      <c r="B235" s="3" t="str">
        <f>RECEIPT!B235</f>
        <v>DRIVE 5HP</v>
      </c>
      <c r="C235" s="3" t="s">
        <v>7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10">
        <f t="shared" si="4"/>
        <v>0</v>
      </c>
    </row>
    <row r="236" spans="1:55" ht="15.75" customHeight="1" x14ac:dyDescent="0.35">
      <c r="A236" s="7">
        <v>235</v>
      </c>
      <c r="B236" s="3" t="str">
        <f>RECEIPT!B236</f>
        <v>DRIVE 4KW 5.5HP (VFD)</v>
      </c>
      <c r="C236" s="3" t="s">
        <v>7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10">
        <f t="shared" si="4"/>
        <v>0</v>
      </c>
    </row>
    <row r="237" spans="1:55" ht="15.75" customHeight="1" x14ac:dyDescent="0.35">
      <c r="A237" s="7">
        <v>236</v>
      </c>
      <c r="B237" s="3" t="str">
        <f>RECEIPT!B237</f>
        <v>DIGITAL TEMP.METER</v>
      </c>
      <c r="C237" s="3" t="s">
        <v>7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10">
        <f t="shared" si="4"/>
        <v>0</v>
      </c>
    </row>
    <row r="238" spans="1:55" ht="15.75" customHeight="1" x14ac:dyDescent="0.35">
      <c r="A238" s="7">
        <v>237</v>
      </c>
      <c r="B238" s="3">
        <f>RECEIPT!B238</f>
        <v>0</v>
      </c>
      <c r="C238" s="3" t="s">
        <v>7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10">
        <f t="shared" si="4"/>
        <v>0</v>
      </c>
    </row>
    <row r="239" spans="1:55" ht="15.75" customHeight="1" x14ac:dyDescent="0.35">
      <c r="A239" s="7">
        <v>238</v>
      </c>
      <c r="B239" s="3" t="str">
        <f>RECEIPT!B239</f>
        <v>DIE ROD HEATER 800W</v>
      </c>
      <c r="C239" s="3" t="s">
        <v>7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10">
        <f t="shared" si="4"/>
        <v>0</v>
      </c>
    </row>
    <row r="240" spans="1:55" ht="15.75" customHeight="1" x14ac:dyDescent="0.35">
      <c r="A240" s="7">
        <v>239</v>
      </c>
      <c r="B240" s="3" t="str">
        <f>RECEIPT!B240</f>
        <v>DIE ROD HEATER 700W</v>
      </c>
      <c r="C240" s="3" t="s">
        <v>7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10">
        <f t="shared" si="4"/>
        <v>0</v>
      </c>
    </row>
    <row r="241" spans="1:55" ht="15.75" customHeight="1" x14ac:dyDescent="0.35">
      <c r="A241" s="7">
        <v>240</v>
      </c>
      <c r="B241" s="3" t="str">
        <f>RECEIPT!B241</f>
        <v>DIE ROD HEATER 600W</v>
      </c>
      <c r="C241" s="3" t="s">
        <v>7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10">
        <f t="shared" si="4"/>
        <v>0</v>
      </c>
    </row>
    <row r="242" spans="1:55" ht="15.75" customHeight="1" x14ac:dyDescent="0.35">
      <c r="A242" s="7">
        <v>241</v>
      </c>
      <c r="B242" s="3" t="str">
        <f>RECEIPT!B242</f>
        <v>DIE ROD HEATER 400W</v>
      </c>
      <c r="C242" s="3" t="s">
        <v>7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10">
        <f t="shared" si="4"/>
        <v>0</v>
      </c>
    </row>
    <row r="243" spans="1:55" ht="15.75" customHeight="1" x14ac:dyDescent="0.35">
      <c r="A243" s="7">
        <v>242</v>
      </c>
      <c r="B243" s="3" t="str">
        <f>RECEIPT!B243</f>
        <v>DIAL GAUGE SMALL</v>
      </c>
      <c r="C243" s="3" t="s">
        <v>7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1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10">
        <f t="shared" si="4"/>
        <v>1</v>
      </c>
    </row>
    <row r="244" spans="1:55" ht="15.75" customHeight="1" x14ac:dyDescent="0.35">
      <c r="A244" s="7">
        <v>243</v>
      </c>
      <c r="B244" s="3" t="str">
        <f>RECEIPT!B244</f>
        <v>DIAL GAUGE MITUTOYO</v>
      </c>
      <c r="C244" s="3" t="s">
        <v>7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10">
        <f t="shared" si="4"/>
        <v>0</v>
      </c>
    </row>
    <row r="245" spans="1:55" ht="15.75" customHeight="1" x14ac:dyDescent="0.35">
      <c r="A245" s="7">
        <v>244</v>
      </c>
      <c r="B245" s="3" t="str">
        <f>RECEIPT!B245</f>
        <v>DIAL GAUGE BIG</v>
      </c>
      <c r="C245" s="3" t="s">
        <v>7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10">
        <f t="shared" si="4"/>
        <v>0</v>
      </c>
    </row>
    <row r="246" spans="1:55" ht="15.75" customHeight="1" x14ac:dyDescent="0.35">
      <c r="A246" s="7">
        <v>245</v>
      </c>
      <c r="B246" s="3" t="str">
        <f>RECEIPT!B246</f>
        <v>CUTTING  WHEEL 5"</v>
      </c>
      <c r="C246" s="3" t="s">
        <v>7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10">
        <f t="shared" si="4"/>
        <v>0</v>
      </c>
    </row>
    <row r="247" spans="1:55" ht="15.75" customHeight="1" x14ac:dyDescent="0.35">
      <c r="A247" s="7">
        <v>246</v>
      </c>
      <c r="B247" s="3" t="str">
        <f>RECEIPT!B247</f>
        <v>CUTTING  WHEEL 4"</v>
      </c>
      <c r="C247" s="3" t="s">
        <v>7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>
        <v>2</v>
      </c>
      <c r="Y247" s="3"/>
      <c r="Z247" s="3"/>
      <c r="AA247" s="3"/>
      <c r="AB247" s="3"/>
      <c r="AC247" s="3"/>
      <c r="AD247" s="3">
        <v>2</v>
      </c>
      <c r="AE247" s="3"/>
      <c r="AF247" s="3"/>
      <c r="AG247" s="3"/>
      <c r="AH247" s="3">
        <v>3</v>
      </c>
      <c r="AI247" s="3"/>
      <c r="AJ247" s="3"/>
      <c r="AK247" s="3"/>
      <c r="AL247" s="3"/>
      <c r="AM247" s="3"/>
      <c r="AN247" s="3"/>
      <c r="AO247" s="3">
        <v>2</v>
      </c>
      <c r="AP247" s="3"/>
      <c r="AQ247" s="3">
        <v>1</v>
      </c>
      <c r="AR247" s="3"/>
      <c r="AS247" s="3"/>
      <c r="AT247" s="3"/>
      <c r="AU247" s="3"/>
      <c r="AV247" s="3">
        <v>2</v>
      </c>
      <c r="AW247" s="3"/>
      <c r="AX247" s="3">
        <v>3</v>
      </c>
      <c r="AY247" s="3"/>
      <c r="AZ247" s="3"/>
      <c r="BA247" s="3"/>
      <c r="BB247" s="3">
        <v>3</v>
      </c>
      <c r="BC247" s="10">
        <f t="shared" si="4"/>
        <v>18</v>
      </c>
    </row>
    <row r="248" spans="1:55" ht="15.75" customHeight="1" x14ac:dyDescent="0.35">
      <c r="A248" s="7">
        <v>247</v>
      </c>
      <c r="B248" s="3" t="str">
        <f>RECEIPT!B248</f>
        <v>CUTTING  WHEEL 14"</v>
      </c>
      <c r="C248" s="3" t="s">
        <v>7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>
        <v>1</v>
      </c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10">
        <f t="shared" si="4"/>
        <v>1</v>
      </c>
    </row>
    <row r="249" spans="1:55" ht="15.75" customHeight="1" x14ac:dyDescent="0.35">
      <c r="A249" s="7">
        <v>248</v>
      </c>
      <c r="B249" s="3" t="str">
        <f>RECEIPT!B249</f>
        <v>CT - DOCR-1S-1E</v>
      </c>
      <c r="C249" s="3" t="s">
        <v>7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10">
        <f t="shared" si="4"/>
        <v>0</v>
      </c>
    </row>
    <row r="250" spans="1:55" ht="15.75" customHeight="1" x14ac:dyDescent="0.35">
      <c r="A250" s="7">
        <v>249</v>
      </c>
      <c r="B250" s="3" t="str">
        <f>RECEIPT!B250</f>
        <v>CT -  MP21SS005S4</v>
      </c>
      <c r="C250" s="3" t="s">
        <v>7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10">
        <f t="shared" si="4"/>
        <v>0</v>
      </c>
    </row>
    <row r="251" spans="1:55" ht="15.75" customHeight="1" x14ac:dyDescent="0.35">
      <c r="A251" s="7">
        <v>250</v>
      </c>
      <c r="B251" s="3" t="str">
        <f>RECEIPT!B251</f>
        <v>COUNTER METER CT6M-1P4</v>
      </c>
      <c r="C251" s="3" t="s">
        <v>7</v>
      </c>
      <c r="D251" s="3"/>
      <c r="E251" s="3"/>
      <c r="F251" s="3"/>
      <c r="G251" s="3"/>
      <c r="H251" s="3"/>
      <c r="I251" s="3"/>
      <c r="J251" s="3"/>
      <c r="K251" s="3"/>
      <c r="L251" s="3">
        <v>1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10">
        <f t="shared" si="4"/>
        <v>1</v>
      </c>
    </row>
    <row r="252" spans="1:55" ht="15.75" customHeight="1" x14ac:dyDescent="0.35">
      <c r="A252" s="7">
        <v>251</v>
      </c>
      <c r="B252" s="3" t="str">
        <f>RECEIPT!B252</f>
        <v>COPPER THIMBLE RING TYPE 95MM</v>
      </c>
      <c r="C252" s="3" t="s">
        <v>7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10">
        <f t="shared" si="4"/>
        <v>0</v>
      </c>
    </row>
    <row r="253" spans="1:55" ht="15.75" customHeight="1" x14ac:dyDescent="0.35">
      <c r="A253" s="7">
        <v>252</v>
      </c>
      <c r="B253" s="3" t="str">
        <f>RECEIPT!B253</f>
        <v>COPPER THIMBLE RING TYPE 70MM</v>
      </c>
      <c r="C253" s="3" t="s">
        <v>7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10">
        <f t="shared" si="4"/>
        <v>0</v>
      </c>
    </row>
    <row r="254" spans="1:55" ht="15.75" customHeight="1" x14ac:dyDescent="0.35">
      <c r="A254" s="7">
        <v>253</v>
      </c>
      <c r="B254" s="3" t="str">
        <f>RECEIPT!B254</f>
        <v>COPPER THIMBLE RING TYPE 35MM</v>
      </c>
      <c r="C254" s="3" t="s">
        <v>7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10">
        <f t="shared" si="4"/>
        <v>0</v>
      </c>
    </row>
    <row r="255" spans="1:55" ht="15.75" customHeight="1" x14ac:dyDescent="0.35">
      <c r="A255" s="7">
        <v>254</v>
      </c>
      <c r="B255" s="3" t="str">
        <f>RECEIPT!B255</f>
        <v>COPPER THIMBLE RING TYPE 300MM</v>
      </c>
      <c r="C255" s="3" t="s">
        <v>7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10">
        <f t="shared" si="4"/>
        <v>0</v>
      </c>
    </row>
    <row r="256" spans="1:55" ht="15.75" customHeight="1" x14ac:dyDescent="0.35">
      <c r="A256" s="7">
        <v>255</v>
      </c>
      <c r="B256" s="3" t="str">
        <f>RECEIPT!B256</f>
        <v>COPPER THIMBLE RING TYPE 25MM</v>
      </c>
      <c r="C256" s="3" t="s">
        <v>7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>
        <v>1</v>
      </c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10">
        <f t="shared" si="4"/>
        <v>1</v>
      </c>
    </row>
    <row r="257" spans="1:55" ht="15.75" customHeight="1" x14ac:dyDescent="0.35">
      <c r="A257" s="7">
        <v>256</v>
      </c>
      <c r="B257" s="3" t="str">
        <f>RECEIPT!B257</f>
        <v>COPPER THIMBLE RING TYPE 2.5MM</v>
      </c>
      <c r="C257" s="3" t="s">
        <v>7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>
        <v>26</v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10">
        <f t="shared" si="4"/>
        <v>26</v>
      </c>
    </row>
    <row r="258" spans="1:55" ht="15.75" customHeight="1" x14ac:dyDescent="0.35">
      <c r="A258" s="7">
        <v>257</v>
      </c>
      <c r="B258" s="3" t="str">
        <f>RECEIPT!B258</f>
        <v>COPPER THIMBLE RING TYPE 185MM</v>
      </c>
      <c r="C258" s="3" t="s">
        <v>7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10">
        <f t="shared" ref="BC258:BC321" si="5">SUM(D258:BB258)</f>
        <v>0</v>
      </c>
    </row>
    <row r="259" spans="1:55" ht="15.75" customHeight="1" x14ac:dyDescent="0.35">
      <c r="A259" s="7">
        <v>258</v>
      </c>
      <c r="B259" s="3" t="str">
        <f>RECEIPT!B259</f>
        <v>COPPER THIMBLE RING TYPE 16MM</v>
      </c>
      <c r="C259" s="3" t="s">
        <v>7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10">
        <f t="shared" si="5"/>
        <v>0</v>
      </c>
    </row>
    <row r="260" spans="1:55" ht="15.75" customHeight="1" x14ac:dyDescent="0.35">
      <c r="A260" s="7">
        <v>259</v>
      </c>
      <c r="B260" s="3" t="str">
        <f>RECEIPT!B260</f>
        <v>COPPER THIMBLE RING TYPE 120MM</v>
      </c>
      <c r="C260" s="3" t="s">
        <v>7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10">
        <f t="shared" si="5"/>
        <v>0</v>
      </c>
    </row>
    <row r="261" spans="1:55" ht="15.75" customHeight="1" x14ac:dyDescent="0.35">
      <c r="A261" s="7">
        <v>260</v>
      </c>
      <c r="B261" s="3" t="str">
        <f>RECEIPT!B261</f>
        <v>COPPER THIMBLE 4 - 6 U TYPE</v>
      </c>
      <c r="C261" s="3" t="s">
        <v>7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10">
        <f t="shared" si="5"/>
        <v>0</v>
      </c>
    </row>
    <row r="262" spans="1:55" ht="15.75" customHeight="1" x14ac:dyDescent="0.35">
      <c r="A262" s="7">
        <v>261</v>
      </c>
      <c r="B262" s="3" t="str">
        <f>RECEIPT!B262</f>
        <v>COPPER THIMBLE 4 - 6 RING TYPE</v>
      </c>
      <c r="C262" s="3" t="s">
        <v>7</v>
      </c>
      <c r="D262" s="3"/>
      <c r="E262" s="3"/>
      <c r="F262" s="3"/>
      <c r="G262" s="3"/>
      <c r="H262" s="3"/>
      <c r="I262" s="3"/>
      <c r="J262" s="3"/>
      <c r="K262" s="3"/>
      <c r="L262" s="3">
        <v>10</v>
      </c>
      <c r="M262" s="3"/>
      <c r="N262" s="3"/>
      <c r="O262" s="3"/>
      <c r="P262" s="3"/>
      <c r="Q262" s="3">
        <v>8</v>
      </c>
      <c r="R262" s="3">
        <v>30</v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10">
        <f t="shared" si="5"/>
        <v>48</v>
      </c>
    </row>
    <row r="263" spans="1:55" ht="15.75" customHeight="1" x14ac:dyDescent="0.35">
      <c r="A263" s="7">
        <v>262</v>
      </c>
      <c r="B263" s="3" t="str">
        <f>RECEIPT!B263</f>
        <v>COPPER CABLE 4MM 4CORE</v>
      </c>
      <c r="C263" s="3" t="s">
        <v>7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10">
        <f t="shared" si="5"/>
        <v>0</v>
      </c>
    </row>
    <row r="264" spans="1:55" ht="15.75" customHeight="1" x14ac:dyDescent="0.35">
      <c r="A264" s="7">
        <v>263</v>
      </c>
      <c r="B264" s="3" t="str">
        <f>RECEIPT!B264</f>
        <v>CONTROL CONTACTOR 4A</v>
      </c>
      <c r="C264" s="3" t="s">
        <v>7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10">
        <f t="shared" si="5"/>
        <v>0</v>
      </c>
    </row>
    <row r="265" spans="1:55" ht="15.75" customHeight="1" x14ac:dyDescent="0.35">
      <c r="A265" s="7">
        <v>264</v>
      </c>
      <c r="B265" s="3" t="str">
        <f>RECEIPT!B265</f>
        <v>CONTACTOR MNX 140 L&amp; T</v>
      </c>
      <c r="C265" s="3" t="s">
        <v>7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>
        <v>2</v>
      </c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10">
        <f t="shared" si="5"/>
        <v>2</v>
      </c>
    </row>
    <row r="266" spans="1:55" ht="15.75" customHeight="1" x14ac:dyDescent="0.35">
      <c r="A266" s="7">
        <v>265</v>
      </c>
      <c r="B266" s="3" t="str">
        <f>RECEIPT!B266</f>
        <v>CONTACTOR 9A</v>
      </c>
      <c r="C266" s="3" t="s">
        <v>7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10">
        <f t="shared" si="5"/>
        <v>0</v>
      </c>
    </row>
    <row r="267" spans="1:55" ht="15.75" customHeight="1" x14ac:dyDescent="0.35">
      <c r="A267" s="7">
        <v>266</v>
      </c>
      <c r="B267" s="3" t="str">
        <f>RECEIPT!B267</f>
        <v>CONTACTOR 80AMP/220V</v>
      </c>
      <c r="C267" s="3" t="s">
        <v>7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10">
        <f t="shared" si="5"/>
        <v>0</v>
      </c>
    </row>
    <row r="268" spans="1:55" ht="15.75" customHeight="1" x14ac:dyDescent="0.35">
      <c r="A268" s="7">
        <v>267</v>
      </c>
      <c r="B268" s="3" t="str">
        <f>RECEIPT!B268</f>
        <v>CONTACTOR 40A/240V</v>
      </c>
      <c r="C268" s="3" t="s">
        <v>7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>
        <v>1</v>
      </c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10">
        <f t="shared" si="5"/>
        <v>1</v>
      </c>
    </row>
    <row r="269" spans="1:55" ht="15.75" customHeight="1" x14ac:dyDescent="0.35">
      <c r="A269" s="7">
        <v>268</v>
      </c>
      <c r="B269" s="3" t="str">
        <f>RECEIPT!B269</f>
        <v>CONTACTOR 32A</v>
      </c>
      <c r="C269" s="3" t="s">
        <v>7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10">
        <f t="shared" si="5"/>
        <v>0</v>
      </c>
    </row>
    <row r="270" spans="1:55" ht="15.75" customHeight="1" x14ac:dyDescent="0.35">
      <c r="A270" s="7">
        <v>269</v>
      </c>
      <c r="B270" s="3" t="str">
        <f>RECEIPT!B270</f>
        <v>CONTACTOR 25A</v>
      </c>
      <c r="C270" s="3" t="s">
        <v>7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10">
        <f t="shared" si="5"/>
        <v>0</v>
      </c>
    </row>
    <row r="271" spans="1:55" ht="15.75" customHeight="1" x14ac:dyDescent="0.35">
      <c r="A271" s="7">
        <v>270</v>
      </c>
      <c r="B271" s="3" t="str">
        <f>RECEIPT!B271</f>
        <v>CONTACTOR 18A</v>
      </c>
      <c r="C271" s="3" t="s">
        <v>7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10">
        <f t="shared" si="5"/>
        <v>0</v>
      </c>
    </row>
    <row r="272" spans="1:55" ht="15.75" customHeight="1" x14ac:dyDescent="0.35">
      <c r="A272" s="7">
        <v>271</v>
      </c>
      <c r="B272" s="3" t="str">
        <f>RECEIPT!B272</f>
        <v>CONTACTOR 12A</v>
      </c>
      <c r="C272" s="3" t="s">
        <v>7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10">
        <f t="shared" si="5"/>
        <v>0</v>
      </c>
    </row>
    <row r="273" spans="1:55" ht="15.75" customHeight="1" x14ac:dyDescent="0.35">
      <c r="A273" s="7">
        <v>272</v>
      </c>
      <c r="B273" s="3">
        <f>RECEIPT!B273</f>
        <v>0</v>
      </c>
      <c r="C273" s="3" t="s">
        <v>7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10">
        <f t="shared" si="5"/>
        <v>0</v>
      </c>
    </row>
    <row r="274" spans="1:55" ht="15.75" customHeight="1" x14ac:dyDescent="0.35">
      <c r="A274" s="7">
        <v>273</v>
      </c>
      <c r="B274" s="3" t="str">
        <f>RECEIPT!B274</f>
        <v>CLAMP METER</v>
      </c>
      <c r="C274" s="3" t="s">
        <v>7</v>
      </c>
      <c r="D274" s="3"/>
      <c r="E274" s="3"/>
      <c r="F274" s="3"/>
      <c r="G274" s="3"/>
      <c r="H274" s="3"/>
      <c r="I274" s="3"/>
      <c r="J274" s="3"/>
      <c r="K274" s="3"/>
      <c r="L274" s="3">
        <v>1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10">
        <f t="shared" si="5"/>
        <v>1</v>
      </c>
    </row>
    <row r="275" spans="1:55" ht="15.75" customHeight="1" x14ac:dyDescent="0.35">
      <c r="A275" s="7">
        <v>274</v>
      </c>
      <c r="B275" s="3">
        <f>RECEIPT!B275</f>
        <v>0</v>
      </c>
      <c r="C275" s="3" t="s">
        <v>7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10">
        <f t="shared" si="5"/>
        <v>0</v>
      </c>
    </row>
    <row r="276" spans="1:55" ht="15.75" customHeight="1" x14ac:dyDescent="0.35">
      <c r="A276" s="7">
        <v>275</v>
      </c>
      <c r="B276" s="3">
        <f>RECEIPT!B276</f>
        <v>0</v>
      </c>
      <c r="C276" s="3" t="s">
        <v>7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10">
        <f t="shared" si="5"/>
        <v>0</v>
      </c>
    </row>
    <row r="277" spans="1:55" ht="15.75" customHeight="1" x14ac:dyDescent="0.35">
      <c r="A277" s="7">
        <v>276</v>
      </c>
      <c r="B277" s="3" t="str">
        <f>RECEIPT!B277</f>
        <v>CHANGE OVER 16A</v>
      </c>
      <c r="C277" s="3" t="s">
        <v>7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10">
        <f t="shared" si="5"/>
        <v>0</v>
      </c>
    </row>
    <row r="278" spans="1:55" ht="15.75" customHeight="1" x14ac:dyDescent="0.35">
      <c r="A278" s="7">
        <v>277</v>
      </c>
      <c r="B278" s="3" t="str">
        <f>RECEIPT!B278</f>
        <v>CHAIN 19.05X12.58X11.91</v>
      </c>
      <c r="C278" s="3" t="s">
        <v>7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10">
        <f t="shared" si="5"/>
        <v>0</v>
      </c>
    </row>
    <row r="279" spans="1:55" ht="15.75" customHeight="1" x14ac:dyDescent="0.35">
      <c r="A279" s="7">
        <v>278</v>
      </c>
      <c r="B279" s="3" t="str">
        <f>RECEIPT!B279</f>
        <v>CHAIN 19.05X11.68X12.07</v>
      </c>
      <c r="C279" s="3" t="s">
        <v>7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10">
        <f t="shared" si="5"/>
        <v>0</v>
      </c>
    </row>
    <row r="280" spans="1:55" ht="15.75" customHeight="1" x14ac:dyDescent="0.35">
      <c r="A280" s="7">
        <v>279</v>
      </c>
      <c r="B280" s="3" t="str">
        <f>RECEIPT!B280</f>
        <v>CHAIN 12.70X7.75X8.51</v>
      </c>
      <c r="C280" s="3" t="s">
        <v>7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10">
        <f t="shared" si="5"/>
        <v>0</v>
      </c>
    </row>
    <row r="281" spans="1:55" ht="15.75" customHeight="1" x14ac:dyDescent="0.35">
      <c r="A281" s="7">
        <v>280</v>
      </c>
      <c r="B281" s="3" t="str">
        <f>RECEIPT!B281</f>
        <v>CERAMIC HEATER</v>
      </c>
      <c r="C281" s="3" t="s">
        <v>7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>
        <v>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10">
        <f t="shared" si="5"/>
        <v>1</v>
      </c>
    </row>
    <row r="282" spans="1:55" ht="15.75" customHeight="1" x14ac:dyDescent="0.35">
      <c r="A282" s="7">
        <v>281</v>
      </c>
      <c r="B282" s="3" t="str">
        <f>RECEIPT!B282</f>
        <v>CARD CONNECTOR</v>
      </c>
      <c r="C282" s="3" t="s">
        <v>7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10">
        <f t="shared" si="5"/>
        <v>0</v>
      </c>
    </row>
    <row r="283" spans="1:55" ht="15.75" customHeight="1" x14ac:dyDescent="0.35">
      <c r="A283" s="7">
        <v>282</v>
      </c>
      <c r="B283" s="3" t="str">
        <f>RECEIPT!B283</f>
        <v>CARBON BRUSH</v>
      </c>
      <c r="C283" s="3" t="s">
        <v>7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10">
        <f t="shared" si="5"/>
        <v>0</v>
      </c>
    </row>
    <row r="284" spans="1:55" ht="15.75" customHeight="1" x14ac:dyDescent="0.35">
      <c r="A284" s="7">
        <v>283</v>
      </c>
      <c r="B284" s="3" t="str">
        <f>RECEIPT!B284</f>
        <v>CAPACITOR 6 MFD EP</v>
      </c>
      <c r="C284" s="3" t="s">
        <v>7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>
        <v>1</v>
      </c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10">
        <f t="shared" si="5"/>
        <v>1</v>
      </c>
    </row>
    <row r="285" spans="1:55" ht="15.75" customHeight="1" x14ac:dyDescent="0.35">
      <c r="A285" s="7">
        <v>284</v>
      </c>
      <c r="B285" s="3" t="str">
        <f>RECEIPT!B285</f>
        <v>CAPACITOR 4 MFD EP</v>
      </c>
      <c r="C285" s="3" t="s">
        <v>7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>
        <v>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2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>
        <v>1</v>
      </c>
      <c r="AU285" s="3"/>
      <c r="AV285" s="3"/>
      <c r="AW285" s="3"/>
      <c r="AX285" s="3"/>
      <c r="AY285" s="3"/>
      <c r="AZ285" s="3"/>
      <c r="BA285" s="3"/>
      <c r="BB285" s="3"/>
      <c r="BC285" s="10">
        <f t="shared" si="5"/>
        <v>4</v>
      </c>
    </row>
    <row r="286" spans="1:55" ht="15.75" customHeight="1" x14ac:dyDescent="0.35">
      <c r="A286" s="7">
        <v>285</v>
      </c>
      <c r="B286" s="3" t="str">
        <f>RECEIPT!B286</f>
        <v>CAPACITOR 3.25MFD</v>
      </c>
      <c r="C286" s="3" t="s">
        <v>7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10">
        <f t="shared" si="5"/>
        <v>0</v>
      </c>
    </row>
    <row r="287" spans="1:55" ht="15.75" customHeight="1" x14ac:dyDescent="0.35">
      <c r="A287" s="7">
        <v>286</v>
      </c>
      <c r="B287" s="3" t="str">
        <f>RECEIPT!B287</f>
        <v>CAPACITOR 2.5MFD</v>
      </c>
      <c r="C287" s="3" t="s">
        <v>7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10">
        <f t="shared" si="5"/>
        <v>0</v>
      </c>
    </row>
    <row r="288" spans="1:55" ht="15.75" customHeight="1" x14ac:dyDescent="0.35">
      <c r="A288" s="7">
        <v>287</v>
      </c>
      <c r="B288" s="3" t="str">
        <f>RECEIPT!B288</f>
        <v>CAPACITOR 150/200 MFD</v>
      </c>
      <c r="C288" s="3" t="s">
        <v>7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10">
        <f t="shared" si="5"/>
        <v>0</v>
      </c>
    </row>
    <row r="289" spans="1:55" ht="15.75" customHeight="1" x14ac:dyDescent="0.35">
      <c r="A289" s="7">
        <v>288</v>
      </c>
      <c r="B289" s="3" t="str">
        <f>RECEIPT!B289</f>
        <v>CAPACITOR 12MFD</v>
      </c>
      <c r="C289" s="3" t="s">
        <v>7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1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10">
        <f t="shared" si="5"/>
        <v>1</v>
      </c>
    </row>
    <row r="290" spans="1:55" ht="15.75" customHeight="1" x14ac:dyDescent="0.35">
      <c r="A290" s="7">
        <v>289</v>
      </c>
      <c r="B290" s="3" t="str">
        <f>RECEIPT!B290</f>
        <v>CABLE TIE 300MM</v>
      </c>
      <c r="C290" s="3" t="s">
        <v>7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>
        <v>100</v>
      </c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10">
        <f t="shared" si="5"/>
        <v>100</v>
      </c>
    </row>
    <row r="291" spans="1:55" ht="15.75" customHeight="1" x14ac:dyDescent="0.35">
      <c r="A291" s="7">
        <v>290</v>
      </c>
      <c r="B291" s="3" t="str">
        <f>RECEIPT!B291</f>
        <v>CABLE TIE 250MM</v>
      </c>
      <c r="C291" s="3" t="s">
        <v>7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10">
        <f t="shared" si="5"/>
        <v>0</v>
      </c>
    </row>
    <row r="292" spans="1:55" ht="15.75" customHeight="1" x14ac:dyDescent="0.35">
      <c r="A292" s="7">
        <v>291</v>
      </c>
      <c r="B292" s="3" t="str">
        <f>RECEIPT!B292</f>
        <v>CABLE TIE 200MM</v>
      </c>
      <c r="C292" s="3" t="s">
        <v>7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10">
        <f t="shared" si="5"/>
        <v>0</v>
      </c>
    </row>
    <row r="293" spans="1:55" ht="15.75" customHeight="1" x14ac:dyDescent="0.35">
      <c r="A293" s="7">
        <v>292</v>
      </c>
      <c r="B293" s="3" t="str">
        <f>RECEIPT!B293</f>
        <v>CABLE 1.5MM 2CORE</v>
      </c>
      <c r="C293" s="3" t="s">
        <v>7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10">
        <f t="shared" si="5"/>
        <v>0</v>
      </c>
    </row>
    <row r="294" spans="1:55" ht="15.75" customHeight="1" x14ac:dyDescent="0.35">
      <c r="A294" s="7">
        <v>293</v>
      </c>
      <c r="B294" s="3" t="str">
        <f>RECEIPT!B294</f>
        <v>BUZZER 92 X 92</v>
      </c>
      <c r="C294" s="3" t="s">
        <v>7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10">
        <f t="shared" si="5"/>
        <v>1</v>
      </c>
    </row>
    <row r="295" spans="1:55" ht="15.75" customHeight="1" x14ac:dyDescent="0.35">
      <c r="A295" s="7">
        <v>294</v>
      </c>
      <c r="B295" s="3" t="str">
        <f>RECEIPT!B295</f>
        <v>BUZZER 72 X 72</v>
      </c>
      <c r="C295" s="3" t="s">
        <v>7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10">
        <f t="shared" si="5"/>
        <v>0</v>
      </c>
    </row>
    <row r="296" spans="1:55" ht="15.75" customHeight="1" x14ac:dyDescent="0.35">
      <c r="A296" s="7">
        <v>295</v>
      </c>
      <c r="B296" s="3" t="str">
        <f>RECEIPT!B296</f>
        <v>BUTTER FLY VALVE 65MM</v>
      </c>
      <c r="C296" s="3" t="s">
        <v>7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10">
        <f t="shared" si="5"/>
        <v>0</v>
      </c>
    </row>
    <row r="297" spans="1:55" ht="15.75" customHeight="1" x14ac:dyDescent="0.35">
      <c r="A297" s="7">
        <v>296</v>
      </c>
      <c r="B297" s="3" t="str">
        <f>RECEIPT!B297</f>
        <v>BUFFING WHEEL 4"</v>
      </c>
      <c r="C297" s="3" t="s">
        <v>7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10">
        <f t="shared" si="5"/>
        <v>0</v>
      </c>
    </row>
    <row r="298" spans="1:55" ht="15.75" customHeight="1" x14ac:dyDescent="0.35">
      <c r="A298" s="7">
        <v>297</v>
      </c>
      <c r="B298" s="3" t="str">
        <f>RECEIPT!B298</f>
        <v>BRASS HYDRAULIC NIPPLE 1/2" X 3/4"</v>
      </c>
      <c r="C298" s="3" t="s">
        <v>7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2</v>
      </c>
      <c r="AD298" s="3"/>
      <c r="AE298" s="3"/>
      <c r="AF298" s="3"/>
      <c r="AG298" s="3"/>
      <c r="AH298" s="3">
        <v>3</v>
      </c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>
        <v>2</v>
      </c>
      <c r="AU298" s="3"/>
      <c r="AV298" s="3"/>
      <c r="AW298" s="3"/>
      <c r="AX298" s="3"/>
      <c r="AY298" s="3"/>
      <c r="AZ298" s="3"/>
      <c r="BA298" s="3"/>
      <c r="BB298" s="3"/>
      <c r="BC298" s="10">
        <f t="shared" si="5"/>
        <v>7</v>
      </c>
    </row>
    <row r="299" spans="1:55" ht="15.75" customHeight="1" x14ac:dyDescent="0.35">
      <c r="A299" s="7">
        <v>298</v>
      </c>
      <c r="B299" s="3" t="str">
        <f>RECEIPT!B299</f>
        <v>BRASS HYDRAULIC NIPPLE 1/2"</v>
      </c>
      <c r="C299" s="3" t="s">
        <v>7</v>
      </c>
      <c r="D299" s="3"/>
      <c r="E299" s="3"/>
      <c r="F299" s="3"/>
      <c r="G299" s="3"/>
      <c r="H299" s="3"/>
      <c r="I299" s="3"/>
      <c r="J299" s="3">
        <v>4</v>
      </c>
      <c r="K299" s="3"/>
      <c r="L299" s="3"/>
      <c r="M299" s="3"/>
      <c r="N299" s="3">
        <v>4</v>
      </c>
      <c r="O299" s="3"/>
      <c r="P299" s="3"/>
      <c r="Q299" s="3"/>
      <c r="R299" s="3"/>
      <c r="S299" s="3"/>
      <c r="T299" s="3"/>
      <c r="U299" s="3">
        <v>1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>
        <v>1</v>
      </c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10">
        <f t="shared" si="5"/>
        <v>10</v>
      </c>
    </row>
    <row r="300" spans="1:55" ht="15.75" customHeight="1" x14ac:dyDescent="0.35">
      <c r="A300" s="7">
        <v>299</v>
      </c>
      <c r="B300" s="3" t="str">
        <f>RECEIPT!B300</f>
        <v>BRASS FITTING 1/4" X 10</v>
      </c>
      <c r="C300" s="3" t="s">
        <v>7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10">
        <f t="shared" si="5"/>
        <v>0</v>
      </c>
    </row>
    <row r="301" spans="1:55" ht="15.75" customHeight="1" x14ac:dyDescent="0.35">
      <c r="A301" s="7">
        <v>300</v>
      </c>
      <c r="B301" s="3" t="str">
        <f>RECEIPT!B301</f>
        <v>BRASS FITTING 1/2" X 12</v>
      </c>
      <c r="C301" s="3" t="s">
        <v>7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10">
        <f t="shared" si="5"/>
        <v>0</v>
      </c>
    </row>
    <row r="302" spans="1:55" ht="15.75" customHeight="1" x14ac:dyDescent="0.35">
      <c r="A302" s="7">
        <v>301</v>
      </c>
      <c r="B302" s="3" t="str">
        <f>RECEIPT!B302</f>
        <v>BRASS FITTING 1/2" X 10</v>
      </c>
      <c r="C302" s="3" t="s">
        <v>7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10">
        <f t="shared" si="5"/>
        <v>0</v>
      </c>
    </row>
    <row r="303" spans="1:55" ht="15.75" customHeight="1" x14ac:dyDescent="0.35">
      <c r="A303" s="7">
        <v>302</v>
      </c>
      <c r="B303" s="3" t="str">
        <f>RECEIPT!B303</f>
        <v>BRASS BUSH 1/2" X 3/8"</v>
      </c>
      <c r="C303" s="3" t="s">
        <v>7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10">
        <f t="shared" si="5"/>
        <v>0</v>
      </c>
    </row>
    <row r="304" spans="1:55" ht="15.75" customHeight="1" x14ac:dyDescent="0.35">
      <c r="A304" s="7">
        <v>303</v>
      </c>
      <c r="B304" s="3" t="str">
        <f>RECEIPT!B304</f>
        <v>BRASS BALL VALVE 1/2"</v>
      </c>
      <c r="C304" s="3" t="s">
        <v>7</v>
      </c>
      <c r="D304" s="3"/>
      <c r="E304" s="3"/>
      <c r="F304" s="3"/>
      <c r="G304" s="3">
        <v>2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>
        <v>2</v>
      </c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10">
        <f t="shared" si="5"/>
        <v>4</v>
      </c>
    </row>
    <row r="305" spans="1:55" ht="15.75" customHeight="1" x14ac:dyDescent="0.35">
      <c r="A305" s="7">
        <v>304</v>
      </c>
      <c r="B305" s="3" t="str">
        <f>RECEIPT!B305</f>
        <v>BRACKET 209</v>
      </c>
      <c r="C305" s="3" t="s">
        <v>7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10">
        <f t="shared" si="5"/>
        <v>0</v>
      </c>
    </row>
    <row r="306" spans="1:55" ht="15.75" customHeight="1" x14ac:dyDescent="0.35">
      <c r="A306" s="7">
        <v>305</v>
      </c>
      <c r="B306" s="3" t="str">
        <f>RECEIPT!B306</f>
        <v>BOTTLE FUSE 4A</v>
      </c>
      <c r="C306" s="3" t="s">
        <v>7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10">
        <f t="shared" si="5"/>
        <v>0</v>
      </c>
    </row>
    <row r="307" spans="1:55" ht="15.75" customHeight="1" x14ac:dyDescent="0.35">
      <c r="A307" s="7">
        <v>306</v>
      </c>
      <c r="B307" s="3" t="str">
        <f>RECEIPT!B307</f>
        <v>BOTTLE FUSE 10A</v>
      </c>
      <c r="C307" s="3" t="s">
        <v>7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10">
        <f t="shared" si="5"/>
        <v>0</v>
      </c>
    </row>
    <row r="308" spans="1:55" ht="15.75" customHeight="1" x14ac:dyDescent="0.35">
      <c r="A308" s="7">
        <v>307</v>
      </c>
      <c r="B308" s="3" t="str">
        <f>RECEIPT!B308</f>
        <v>BED SWITCH 6A</v>
      </c>
      <c r="C308" s="3" t="s">
        <v>7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10">
        <f t="shared" si="5"/>
        <v>0</v>
      </c>
    </row>
    <row r="309" spans="1:55" ht="15.75" customHeight="1" x14ac:dyDescent="0.35">
      <c r="A309" s="7">
        <v>308</v>
      </c>
      <c r="B309" s="3" t="str">
        <f>RECEIPT!B309</f>
        <v>BEARING UFCL 204</v>
      </c>
      <c r="C309" s="3" t="s">
        <v>7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10">
        <f t="shared" si="5"/>
        <v>0</v>
      </c>
    </row>
    <row r="310" spans="1:55" ht="15.75" customHeight="1" x14ac:dyDescent="0.35">
      <c r="A310" s="7">
        <v>309</v>
      </c>
      <c r="B310" s="3" t="str">
        <f>RECEIPT!B310</f>
        <v>BEARING UCP 206</v>
      </c>
      <c r="C310" s="3" t="s">
        <v>7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10">
        <f t="shared" si="5"/>
        <v>0</v>
      </c>
    </row>
    <row r="311" spans="1:55" ht="15.75" customHeight="1" x14ac:dyDescent="0.35">
      <c r="A311" s="7">
        <v>310</v>
      </c>
      <c r="B311" s="3" t="str">
        <f>RECEIPT!B311</f>
        <v>BEARING UCFL 205</v>
      </c>
      <c r="C311" s="3" t="s">
        <v>7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10">
        <f t="shared" si="5"/>
        <v>0</v>
      </c>
    </row>
    <row r="312" spans="1:55" ht="15.75" customHeight="1" x14ac:dyDescent="0.35">
      <c r="A312" s="7">
        <v>311</v>
      </c>
      <c r="B312" s="3" t="str">
        <f>RECEIPT!B312</f>
        <v>BEARING UC 212</v>
      </c>
      <c r="C312" s="3" t="s">
        <v>7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>
        <v>1</v>
      </c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1</v>
      </c>
      <c r="BA312" s="3"/>
      <c r="BB312" s="3"/>
      <c r="BC312" s="10">
        <f t="shared" si="5"/>
        <v>2</v>
      </c>
    </row>
    <row r="313" spans="1:55" ht="15.75" customHeight="1" x14ac:dyDescent="0.35">
      <c r="A313" s="7">
        <v>312</v>
      </c>
      <c r="B313" s="3" t="str">
        <f>RECEIPT!B313</f>
        <v>BEARING UC 211</v>
      </c>
      <c r="C313" s="3" t="s">
        <v>7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10">
        <f t="shared" si="5"/>
        <v>0</v>
      </c>
    </row>
    <row r="314" spans="1:55" ht="15.75" customHeight="1" x14ac:dyDescent="0.35">
      <c r="A314" s="7">
        <v>313</v>
      </c>
      <c r="B314" s="3" t="str">
        <f>RECEIPT!B314</f>
        <v>BEARING UC 210</v>
      </c>
      <c r="C314" s="3" t="s">
        <v>7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10">
        <f t="shared" si="5"/>
        <v>0</v>
      </c>
    </row>
    <row r="315" spans="1:55" ht="15.75" customHeight="1" x14ac:dyDescent="0.35">
      <c r="A315" s="7">
        <v>314</v>
      </c>
      <c r="B315" s="3" t="str">
        <f>RECEIPT!B315</f>
        <v>BEARING UC 209</v>
      </c>
      <c r="C315" s="3" t="s">
        <v>7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10">
        <f t="shared" si="5"/>
        <v>0</v>
      </c>
    </row>
    <row r="316" spans="1:55" ht="15.75" customHeight="1" x14ac:dyDescent="0.35">
      <c r="A316" s="7">
        <v>315</v>
      </c>
      <c r="B316" s="3" t="str">
        <f>RECEIPT!B316</f>
        <v>BEARING UC 208</v>
      </c>
      <c r="C316" s="3" t="s">
        <v>7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>
        <v>1</v>
      </c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>
        <v>2</v>
      </c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10">
        <f t="shared" si="5"/>
        <v>4</v>
      </c>
    </row>
    <row r="317" spans="1:55" ht="15.75" customHeight="1" x14ac:dyDescent="0.35">
      <c r="A317" s="7">
        <v>316</v>
      </c>
      <c r="B317" s="3" t="str">
        <f>RECEIPT!B317</f>
        <v>BEARING UC 207</v>
      </c>
      <c r="C317" s="3" t="s">
        <v>7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10">
        <f t="shared" si="5"/>
        <v>0</v>
      </c>
    </row>
    <row r="318" spans="1:55" ht="15.75" customHeight="1" x14ac:dyDescent="0.35">
      <c r="A318" s="7">
        <v>317</v>
      </c>
      <c r="B318" s="3" t="str">
        <f>RECEIPT!B318</f>
        <v>BEARING UC 206</v>
      </c>
      <c r="C318" s="3" t="s">
        <v>7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>
        <v>1</v>
      </c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10">
        <f t="shared" si="5"/>
        <v>1</v>
      </c>
    </row>
    <row r="319" spans="1:55" ht="15.75" customHeight="1" x14ac:dyDescent="0.35">
      <c r="A319" s="7">
        <v>318</v>
      </c>
      <c r="B319" s="3" t="str">
        <f>RECEIPT!B319</f>
        <v>BEARING UC 204</v>
      </c>
      <c r="C319" s="3" t="s">
        <v>7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10">
        <f t="shared" si="5"/>
        <v>0</v>
      </c>
    </row>
    <row r="320" spans="1:55" ht="15.75" customHeight="1" x14ac:dyDescent="0.35">
      <c r="A320" s="7">
        <v>319</v>
      </c>
      <c r="B320" s="3" t="str">
        <f>RECEIPT!B320</f>
        <v>BEARING T BRACKET 206</v>
      </c>
      <c r="C320" s="3" t="s">
        <v>7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10">
        <f t="shared" si="5"/>
        <v>0</v>
      </c>
    </row>
    <row r="321" spans="1:55" ht="15.75" customHeight="1" x14ac:dyDescent="0.35">
      <c r="A321" s="7">
        <v>320</v>
      </c>
      <c r="B321" s="3" t="str">
        <f>RECEIPT!B321</f>
        <v>BEARING S 210</v>
      </c>
      <c r="C321" s="3" t="s">
        <v>7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10">
        <f t="shared" si="5"/>
        <v>0</v>
      </c>
    </row>
    <row r="322" spans="1:55" ht="15.75" customHeight="1" x14ac:dyDescent="0.35">
      <c r="A322" s="7">
        <v>321</v>
      </c>
      <c r="B322" s="3" t="str">
        <f>RECEIPT!B322</f>
        <v>BEARING P212</v>
      </c>
      <c r="C322" s="3" t="s">
        <v>7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10">
        <f t="shared" ref="BC322:BC385" si="6">SUM(D322:BB322)</f>
        <v>0</v>
      </c>
    </row>
    <row r="323" spans="1:55" ht="15.75" customHeight="1" x14ac:dyDescent="0.35">
      <c r="A323" s="7">
        <v>322</v>
      </c>
      <c r="B323" s="3" t="str">
        <f>RECEIPT!B323</f>
        <v>BEARING NU218</v>
      </c>
      <c r="C323" s="3" t="s">
        <v>7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10">
        <f t="shared" si="6"/>
        <v>0</v>
      </c>
    </row>
    <row r="324" spans="1:55" ht="15.75" customHeight="1" x14ac:dyDescent="0.35">
      <c r="A324" s="7">
        <v>323</v>
      </c>
      <c r="B324" s="3" t="str">
        <f>RECEIPT!B324</f>
        <v>BEARING LMK 25UU</v>
      </c>
      <c r="C324" s="3" t="s">
        <v>7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10">
        <f t="shared" si="6"/>
        <v>0</v>
      </c>
    </row>
    <row r="325" spans="1:55" ht="15.75" customHeight="1" x14ac:dyDescent="0.35">
      <c r="A325" s="7">
        <v>324</v>
      </c>
      <c r="B325" s="3" t="str">
        <f>RECEIPT!B325</f>
        <v>BEARING LMK 25LUU</v>
      </c>
      <c r="C325" s="3" t="s">
        <v>7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10">
        <f t="shared" si="6"/>
        <v>0</v>
      </c>
    </row>
    <row r="326" spans="1:55" ht="15.75" customHeight="1" x14ac:dyDescent="0.35">
      <c r="A326" s="7">
        <v>325</v>
      </c>
      <c r="B326" s="3" t="str">
        <f>RECEIPT!B326</f>
        <v>BEARING LMEK 20UU</v>
      </c>
      <c r="C326" s="3" t="s">
        <v>7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10">
        <f t="shared" si="6"/>
        <v>0</v>
      </c>
    </row>
    <row r="327" spans="1:55" ht="15.75" customHeight="1" x14ac:dyDescent="0.35">
      <c r="A327" s="7">
        <v>326</v>
      </c>
      <c r="B327" s="3" t="str">
        <f>RECEIPT!B327</f>
        <v>BEARING FC211</v>
      </c>
      <c r="C327" s="3" t="s">
        <v>7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10">
        <f t="shared" si="6"/>
        <v>0</v>
      </c>
    </row>
    <row r="328" spans="1:55" ht="15.75" customHeight="1" x14ac:dyDescent="0.35">
      <c r="A328" s="7">
        <v>327</v>
      </c>
      <c r="B328" s="3" t="str">
        <f>RECEIPT!B328</f>
        <v>BEARING F212</v>
      </c>
      <c r="C328" s="3" t="s">
        <v>7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10">
        <f t="shared" si="6"/>
        <v>0</v>
      </c>
    </row>
    <row r="329" spans="1:55" ht="15.75" customHeight="1" x14ac:dyDescent="0.35">
      <c r="A329" s="7">
        <v>328</v>
      </c>
      <c r="B329" s="3" t="str">
        <f>RECEIPT!B329</f>
        <v>BEARING F209</v>
      </c>
      <c r="C329" s="3" t="s">
        <v>7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10">
        <f t="shared" si="6"/>
        <v>0</v>
      </c>
    </row>
    <row r="330" spans="1:55" ht="15.75" customHeight="1" x14ac:dyDescent="0.35">
      <c r="A330" s="7">
        <v>329</v>
      </c>
      <c r="B330" s="3" t="str">
        <f>RECEIPT!B330</f>
        <v>BEARING 6818</v>
      </c>
      <c r="C330" s="3" t="s">
        <v>7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10">
        <f t="shared" si="6"/>
        <v>0</v>
      </c>
    </row>
    <row r="331" spans="1:55" ht="15.75" customHeight="1" x14ac:dyDescent="0.35">
      <c r="A331" s="7">
        <v>330</v>
      </c>
      <c r="B331" s="3" t="str">
        <f>RECEIPT!B331</f>
        <v>BEARING 6814</v>
      </c>
      <c r="C331" s="3" t="s">
        <v>7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10">
        <f t="shared" si="6"/>
        <v>0</v>
      </c>
    </row>
    <row r="332" spans="1:55" ht="15.75" customHeight="1" x14ac:dyDescent="0.35">
      <c r="A332" s="7">
        <v>331</v>
      </c>
      <c r="B332" s="3" t="str">
        <f>RECEIPT!B332</f>
        <v>BEARING 6311</v>
      </c>
      <c r="C332" s="3" t="s">
        <v>7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10">
        <f t="shared" si="6"/>
        <v>0</v>
      </c>
    </row>
    <row r="333" spans="1:55" ht="15.75" customHeight="1" x14ac:dyDescent="0.35">
      <c r="A333" s="7">
        <v>332</v>
      </c>
      <c r="B333" s="3" t="str">
        <f>RECEIPT!B333</f>
        <v>BEARING 6310</v>
      </c>
      <c r="C333" s="3" t="s">
        <v>7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10">
        <f t="shared" si="6"/>
        <v>0</v>
      </c>
    </row>
    <row r="334" spans="1:55" ht="15.75" customHeight="1" x14ac:dyDescent="0.35">
      <c r="A334" s="7">
        <v>333</v>
      </c>
      <c r="B334" s="3" t="str">
        <f>RECEIPT!B334</f>
        <v>BEARING 6309</v>
      </c>
      <c r="C334" s="3" t="s">
        <v>7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10">
        <f t="shared" si="6"/>
        <v>0</v>
      </c>
    </row>
    <row r="335" spans="1:55" ht="15.75" customHeight="1" x14ac:dyDescent="0.35">
      <c r="A335" s="7">
        <v>334</v>
      </c>
      <c r="B335" s="3" t="str">
        <f>RECEIPT!B335</f>
        <v>BEARING 6308</v>
      </c>
      <c r="C335" s="3" t="s">
        <v>7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10">
        <f t="shared" si="6"/>
        <v>0</v>
      </c>
    </row>
    <row r="336" spans="1:55" ht="15.75" customHeight="1" x14ac:dyDescent="0.35">
      <c r="A336" s="7">
        <v>335</v>
      </c>
      <c r="B336" s="3" t="str">
        <f>RECEIPT!B336</f>
        <v>BEARING 6306</v>
      </c>
      <c r="C336" s="3" t="s">
        <v>7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10">
        <f t="shared" si="6"/>
        <v>0</v>
      </c>
    </row>
    <row r="337" spans="1:55" ht="15.75" customHeight="1" x14ac:dyDescent="0.35">
      <c r="A337" s="7">
        <v>336</v>
      </c>
      <c r="B337" s="3" t="str">
        <f>RECEIPT!B337</f>
        <v>BEARING 6305</v>
      </c>
      <c r="C337" s="3" t="s">
        <v>7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10">
        <f t="shared" si="6"/>
        <v>0</v>
      </c>
    </row>
    <row r="338" spans="1:55" ht="15.75" customHeight="1" x14ac:dyDescent="0.35">
      <c r="A338" s="7">
        <v>337</v>
      </c>
      <c r="B338" s="3" t="str">
        <f>RECEIPT!B338</f>
        <v>BEARING 6304</v>
      </c>
      <c r="C338" s="3" t="s">
        <v>7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10">
        <f t="shared" si="6"/>
        <v>0</v>
      </c>
    </row>
    <row r="339" spans="1:55" ht="15.75" customHeight="1" x14ac:dyDescent="0.35">
      <c r="A339" s="7">
        <v>338</v>
      </c>
      <c r="B339" s="3" t="str">
        <f>RECEIPT!B339</f>
        <v>BEARING 6203</v>
      </c>
      <c r="C339" s="3" t="s">
        <v>7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2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10">
        <f t="shared" si="6"/>
        <v>2</v>
      </c>
    </row>
    <row r="340" spans="1:55" ht="15.75" customHeight="1" x14ac:dyDescent="0.35">
      <c r="A340" s="7">
        <v>339</v>
      </c>
      <c r="B340" s="3" t="str">
        <f>RECEIPT!B340</f>
        <v>BEARING 6302</v>
      </c>
      <c r="C340" s="3" t="s">
        <v>7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10">
        <f t="shared" si="6"/>
        <v>0</v>
      </c>
    </row>
    <row r="341" spans="1:55" ht="15.75" customHeight="1" x14ac:dyDescent="0.35">
      <c r="A341" s="7">
        <v>340</v>
      </c>
      <c r="B341" s="3" t="str">
        <f>RECEIPT!B341</f>
        <v>BEARING 629</v>
      </c>
      <c r="C341" s="3" t="s">
        <v>7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10">
        <f t="shared" si="6"/>
        <v>0</v>
      </c>
    </row>
    <row r="342" spans="1:55" ht="15.75" customHeight="1" x14ac:dyDescent="0.35">
      <c r="A342" s="7">
        <v>341</v>
      </c>
      <c r="B342" s="3" t="str">
        <f>RECEIPT!B342</f>
        <v>BEARING 628</v>
      </c>
      <c r="C342" s="3" t="s">
        <v>7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10">
        <f t="shared" si="6"/>
        <v>0</v>
      </c>
    </row>
    <row r="343" spans="1:55" ht="21" x14ac:dyDescent="0.35">
      <c r="A343" s="7">
        <v>342</v>
      </c>
      <c r="B343" s="3" t="str">
        <f>RECEIPT!B343</f>
        <v>BEARING 6211</v>
      </c>
      <c r="C343" s="3" t="s">
        <v>7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10">
        <f t="shared" si="6"/>
        <v>0</v>
      </c>
    </row>
    <row r="344" spans="1:55" ht="15.75" customHeight="1" x14ac:dyDescent="0.35">
      <c r="A344" s="7">
        <v>343</v>
      </c>
      <c r="B344" s="3" t="str">
        <f>RECEIPT!B344</f>
        <v>BEARING 6210</v>
      </c>
      <c r="C344" s="3" t="s">
        <v>7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10">
        <f t="shared" si="6"/>
        <v>0</v>
      </c>
    </row>
    <row r="345" spans="1:55" ht="15.75" customHeight="1" x14ac:dyDescent="0.35">
      <c r="A345" s="7">
        <v>344</v>
      </c>
      <c r="B345" s="3" t="str">
        <f>RECEIPT!B345</f>
        <v>BEARING 6209</v>
      </c>
      <c r="C345" s="3" t="s">
        <v>7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2</v>
      </c>
      <c r="BA345" s="3"/>
      <c r="BB345" s="3"/>
      <c r="BC345" s="10">
        <f t="shared" si="6"/>
        <v>2</v>
      </c>
    </row>
    <row r="346" spans="1:55" ht="15.75" customHeight="1" x14ac:dyDescent="0.35">
      <c r="A346" s="7">
        <v>345</v>
      </c>
      <c r="B346" s="3" t="str">
        <f>RECEIPT!B346</f>
        <v>BEARING 6208</v>
      </c>
      <c r="C346" s="3" t="s">
        <v>7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10">
        <f t="shared" si="6"/>
        <v>0</v>
      </c>
    </row>
    <row r="347" spans="1:55" ht="15.75" customHeight="1" x14ac:dyDescent="0.35">
      <c r="A347" s="7">
        <v>346</v>
      </c>
      <c r="B347" s="3" t="str">
        <f>RECEIPT!B347</f>
        <v>BEARING 6206</v>
      </c>
      <c r="C347" s="3" t="s">
        <v>7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2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>
        <v>2</v>
      </c>
      <c r="AU347" s="3"/>
      <c r="AV347" s="3"/>
      <c r="AW347" s="3"/>
      <c r="AX347" s="3"/>
      <c r="AY347" s="3"/>
      <c r="AZ347" s="3"/>
      <c r="BA347" s="3"/>
      <c r="BB347" s="3"/>
      <c r="BC347" s="10">
        <f t="shared" si="6"/>
        <v>4</v>
      </c>
    </row>
    <row r="348" spans="1:55" ht="15.75" customHeight="1" x14ac:dyDescent="0.35">
      <c r="A348" s="7">
        <v>347</v>
      </c>
      <c r="B348" s="3" t="str">
        <f>RECEIPT!B348</f>
        <v>BEARING 6205</v>
      </c>
      <c r="C348" s="3" t="s">
        <v>7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>
        <v>1</v>
      </c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10">
        <f t="shared" si="6"/>
        <v>1</v>
      </c>
    </row>
    <row r="349" spans="1:55" ht="15.75" customHeight="1" x14ac:dyDescent="0.35">
      <c r="A349" s="7">
        <v>348</v>
      </c>
      <c r="B349" s="3" t="str">
        <f>RECEIPT!B349</f>
        <v>BEARING 6204</v>
      </c>
      <c r="C349" s="3" t="s">
        <v>7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>
        <v>8</v>
      </c>
      <c r="AQ349" s="3"/>
      <c r="AR349" s="3"/>
      <c r="AS349" s="3"/>
      <c r="AT349" s="3"/>
      <c r="AU349" s="3"/>
      <c r="AV349" s="3">
        <v>1</v>
      </c>
      <c r="AW349" s="3">
        <v>4</v>
      </c>
      <c r="AX349" s="3"/>
      <c r="AY349" s="3"/>
      <c r="AZ349" s="3"/>
      <c r="BA349" s="3"/>
      <c r="BB349" s="3"/>
      <c r="BC349" s="10">
        <f t="shared" si="6"/>
        <v>13</v>
      </c>
    </row>
    <row r="350" spans="1:55" ht="15.75" customHeight="1" x14ac:dyDescent="0.35">
      <c r="A350" s="7">
        <v>349</v>
      </c>
      <c r="B350" s="3" t="str">
        <f>RECEIPT!B350</f>
        <v>BEARING 6202</v>
      </c>
      <c r="C350" s="3" t="s">
        <v>7</v>
      </c>
      <c r="D350" s="3"/>
      <c r="E350" s="3"/>
      <c r="F350" s="3"/>
      <c r="G350" s="3"/>
      <c r="H350" s="3"/>
      <c r="I350" s="3"/>
      <c r="J350" s="3"/>
      <c r="K350" s="3"/>
      <c r="L350" s="3">
        <v>1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10">
        <f t="shared" si="6"/>
        <v>1</v>
      </c>
    </row>
    <row r="351" spans="1:55" ht="15.75" customHeight="1" x14ac:dyDescent="0.35">
      <c r="A351" s="7">
        <v>350</v>
      </c>
      <c r="B351" s="3" t="str">
        <f>RECEIPT!B351</f>
        <v>BEARING 608</v>
      </c>
      <c r="C351" s="3" t="s">
        <v>7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10">
        <f t="shared" si="6"/>
        <v>0</v>
      </c>
    </row>
    <row r="352" spans="1:55" ht="15.75" customHeight="1" x14ac:dyDescent="0.35">
      <c r="A352" s="7">
        <v>351</v>
      </c>
      <c r="B352" s="3" t="str">
        <f>RECEIPT!B352</f>
        <v>BEARING 6012</v>
      </c>
      <c r="C352" s="3" t="s">
        <v>7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10">
        <f t="shared" si="6"/>
        <v>0</v>
      </c>
    </row>
    <row r="353" spans="1:55" ht="15.75" customHeight="1" x14ac:dyDescent="0.35">
      <c r="A353" s="7">
        <v>352</v>
      </c>
      <c r="B353" s="3" t="str">
        <f>RECEIPT!B353</f>
        <v>BEARING 6007</v>
      </c>
      <c r="C353" s="3" t="s">
        <v>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10">
        <f t="shared" si="6"/>
        <v>0</v>
      </c>
    </row>
    <row r="354" spans="1:55" ht="15.75" customHeight="1" x14ac:dyDescent="0.35">
      <c r="A354" s="7">
        <v>353</v>
      </c>
      <c r="B354" s="3" t="str">
        <f>RECEIPT!B354</f>
        <v>BEARING 6006</v>
      </c>
      <c r="C354" s="3" t="s">
        <v>7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2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2</v>
      </c>
      <c r="AV354" s="3"/>
      <c r="AW354" s="3"/>
      <c r="AX354" s="3"/>
      <c r="AY354" s="3"/>
      <c r="AZ354" s="3">
        <v>2</v>
      </c>
      <c r="BA354" s="3"/>
      <c r="BB354" s="3"/>
      <c r="BC354" s="10">
        <f t="shared" si="6"/>
        <v>6</v>
      </c>
    </row>
    <row r="355" spans="1:55" ht="15.75" customHeight="1" x14ac:dyDescent="0.35">
      <c r="A355" s="7">
        <v>354</v>
      </c>
      <c r="B355" s="3" t="str">
        <f>RECEIPT!B355</f>
        <v>BEARING 6005</v>
      </c>
      <c r="C355" s="3" t="s">
        <v>7</v>
      </c>
      <c r="D355" s="3"/>
      <c r="E355" s="3"/>
      <c r="F355" s="3"/>
      <c r="G355" s="3">
        <v>2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>
        <v>2</v>
      </c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10">
        <f t="shared" si="6"/>
        <v>4</v>
      </c>
    </row>
    <row r="356" spans="1:55" ht="15.75" customHeight="1" x14ac:dyDescent="0.35">
      <c r="A356" s="7">
        <v>355</v>
      </c>
      <c r="B356" s="3" t="str">
        <f>RECEIPT!B356</f>
        <v>BEARING 6004</v>
      </c>
      <c r="C356" s="3" t="s">
        <v>7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>
        <v>6</v>
      </c>
      <c r="AT356" s="3"/>
      <c r="AU356" s="3"/>
      <c r="AV356" s="3"/>
      <c r="AW356" s="3"/>
      <c r="AX356" s="3"/>
      <c r="AY356" s="3"/>
      <c r="AZ356" s="3"/>
      <c r="BA356" s="3"/>
      <c r="BB356" s="3"/>
      <c r="BC356" s="10">
        <f t="shared" si="6"/>
        <v>6</v>
      </c>
    </row>
    <row r="357" spans="1:55" ht="15.75" customHeight="1" x14ac:dyDescent="0.35">
      <c r="A357" s="7">
        <v>356</v>
      </c>
      <c r="B357" s="3" t="str">
        <f>RECEIPT!B357</f>
        <v>BEARING 6001</v>
      </c>
      <c r="C357" s="3" t="s">
        <v>7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10">
        <f t="shared" si="6"/>
        <v>0</v>
      </c>
    </row>
    <row r="358" spans="1:55" ht="15.75" customHeight="1" x14ac:dyDescent="0.35">
      <c r="A358" s="7">
        <v>357</v>
      </c>
      <c r="B358" s="3" t="str">
        <f>RECEIPT!B358</f>
        <v>BEARING 6000</v>
      </c>
      <c r="C358" s="3" t="s">
        <v>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10">
        <f t="shared" si="6"/>
        <v>0</v>
      </c>
    </row>
    <row r="359" spans="1:55" ht="15.75" customHeight="1" x14ac:dyDescent="0.35">
      <c r="A359" s="7">
        <v>358</v>
      </c>
      <c r="B359" s="3" t="str">
        <f>RECEIPT!B359</f>
        <v>BEARING 51204</v>
      </c>
      <c r="C359" s="3" t="s">
        <v>7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10">
        <f t="shared" si="6"/>
        <v>0</v>
      </c>
    </row>
    <row r="360" spans="1:55" ht="15.75" customHeight="1" x14ac:dyDescent="0.35">
      <c r="A360" s="7">
        <v>359</v>
      </c>
      <c r="B360" s="3" t="str">
        <f>RECEIPT!B360</f>
        <v>BEARING 3207</v>
      </c>
      <c r="C360" s="3" t="s">
        <v>7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10">
        <f t="shared" si="6"/>
        <v>0</v>
      </c>
    </row>
    <row r="361" spans="1:55" ht="15.75" customHeight="1" x14ac:dyDescent="0.35">
      <c r="A361" s="7">
        <v>360</v>
      </c>
      <c r="B361" s="3" t="str">
        <f>RECEIPT!B361</f>
        <v>BEARING 22316</v>
      </c>
      <c r="C361" s="3" t="s">
        <v>7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10">
        <f t="shared" si="6"/>
        <v>0</v>
      </c>
    </row>
    <row r="362" spans="1:55" ht="15.75" customHeight="1" x14ac:dyDescent="0.35">
      <c r="A362" s="7">
        <v>361</v>
      </c>
      <c r="B362" s="3" t="str">
        <f>RECEIPT!B362</f>
        <v>BEARING 22224</v>
      </c>
      <c r="C362" s="3" t="s">
        <v>7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10">
        <f t="shared" si="6"/>
        <v>0</v>
      </c>
    </row>
    <row r="363" spans="1:55" ht="15.75" customHeight="1" x14ac:dyDescent="0.35">
      <c r="A363" s="7">
        <v>362</v>
      </c>
      <c r="B363" s="3" t="str">
        <f>RECEIPT!B363</f>
        <v>BEARING 22216</v>
      </c>
      <c r="C363" s="3" t="s">
        <v>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10">
        <f t="shared" si="6"/>
        <v>0</v>
      </c>
    </row>
    <row r="364" spans="1:55" ht="15.75" customHeight="1" x14ac:dyDescent="0.35">
      <c r="A364" s="7">
        <v>363</v>
      </c>
      <c r="B364" s="3" t="str">
        <f>RECEIPT!B364</f>
        <v>BEARING 22215</v>
      </c>
      <c r="C364" s="3" t="s">
        <v>7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10">
        <f t="shared" si="6"/>
        <v>0</v>
      </c>
    </row>
    <row r="365" spans="1:55" ht="15.75" customHeight="1" x14ac:dyDescent="0.35">
      <c r="A365" s="7">
        <v>364</v>
      </c>
      <c r="B365" s="3" t="str">
        <f>RECEIPT!B365</f>
        <v>BEARING 2215K</v>
      </c>
      <c r="C365" s="3" t="s">
        <v>7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10">
        <f t="shared" si="6"/>
        <v>0</v>
      </c>
    </row>
    <row r="366" spans="1:55" ht="15.75" customHeight="1" x14ac:dyDescent="0.35">
      <c r="A366" s="7">
        <v>365</v>
      </c>
      <c r="B366" s="3" t="str">
        <f>RECEIPT!B366</f>
        <v>BEARING 2211</v>
      </c>
      <c r="C366" s="3" t="s">
        <v>7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10">
        <f t="shared" si="6"/>
        <v>0</v>
      </c>
    </row>
    <row r="367" spans="1:55" ht="15.75" customHeight="1" x14ac:dyDescent="0.35">
      <c r="A367" s="7">
        <v>366</v>
      </c>
      <c r="B367" s="3" t="str">
        <f>RECEIPT!B367</f>
        <v>BALL VALVE 3/4"</v>
      </c>
      <c r="C367" s="3" t="s">
        <v>7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10">
        <f t="shared" si="6"/>
        <v>0</v>
      </c>
    </row>
    <row r="368" spans="1:55" ht="15.75" customHeight="1" x14ac:dyDescent="0.35">
      <c r="A368" s="7">
        <v>367</v>
      </c>
      <c r="B368" s="3" t="str">
        <f>RECEIPT!B368</f>
        <v>BALL VALVE 2"</v>
      </c>
      <c r="C368" s="3" t="s">
        <v>7</v>
      </c>
      <c r="D368" s="3"/>
      <c r="E368" s="3"/>
      <c r="F368" s="3"/>
      <c r="G368" s="3"/>
      <c r="H368" s="3"/>
      <c r="I368" s="3"/>
      <c r="J368" s="3"/>
      <c r="K368" s="3">
        <v>1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10">
        <f t="shared" si="6"/>
        <v>1</v>
      </c>
    </row>
    <row r="369" spans="1:55" ht="15.75" customHeight="1" x14ac:dyDescent="0.35">
      <c r="A369" s="7">
        <v>368</v>
      </c>
      <c r="B369" s="3" t="str">
        <f>RECEIPT!B369</f>
        <v>BALL VALVE 1.5"</v>
      </c>
      <c r="C369" s="3" t="s">
        <v>7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10">
        <f t="shared" si="6"/>
        <v>0</v>
      </c>
    </row>
    <row r="370" spans="1:55" ht="15.75" customHeight="1" x14ac:dyDescent="0.35">
      <c r="A370" s="7">
        <v>369</v>
      </c>
      <c r="B370" s="3" t="str">
        <f>RECEIPT!B370</f>
        <v>BALL VALVE 1.25</v>
      </c>
      <c r="C370" s="3" t="s">
        <v>7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10">
        <f t="shared" si="6"/>
        <v>0</v>
      </c>
    </row>
    <row r="371" spans="1:55" ht="15.75" customHeight="1" x14ac:dyDescent="0.35">
      <c r="A371" s="7">
        <v>370</v>
      </c>
      <c r="B371" s="3" t="str">
        <f>RECEIPT!B371</f>
        <v>BALL VALVE 1"</v>
      </c>
      <c r="C371" s="3" t="s">
        <v>7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>
        <v>1</v>
      </c>
      <c r="P371" s="3"/>
      <c r="Q371" s="3"/>
      <c r="R371" s="3"/>
      <c r="S371" s="3">
        <v>1</v>
      </c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10">
        <f t="shared" si="6"/>
        <v>2</v>
      </c>
    </row>
    <row r="372" spans="1:55" ht="15.75" customHeight="1" x14ac:dyDescent="0.35">
      <c r="A372" s="7">
        <v>371</v>
      </c>
      <c r="B372" s="3" t="str">
        <f>RECEIPT!B372</f>
        <v>AUXILARY CONTACTOR MX-A-1 22E</v>
      </c>
      <c r="C372" s="3" t="s">
        <v>7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10">
        <f t="shared" si="6"/>
        <v>0</v>
      </c>
    </row>
    <row r="373" spans="1:55" ht="15.75" customHeight="1" x14ac:dyDescent="0.35">
      <c r="A373" s="7">
        <v>372</v>
      </c>
      <c r="B373" s="3" t="str">
        <f>RECEIPT!B373</f>
        <v>ANABOND 666</v>
      </c>
      <c r="C373" s="3" t="s">
        <v>7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10">
        <f t="shared" si="6"/>
        <v>0</v>
      </c>
    </row>
    <row r="374" spans="1:55" ht="15.75" customHeight="1" x14ac:dyDescent="0.35">
      <c r="A374" s="7">
        <v>373</v>
      </c>
      <c r="B374" s="3" t="str">
        <f>RECEIPT!B374</f>
        <v>ALU.THIMBLE RING TYPE 95MM</v>
      </c>
      <c r="C374" s="3" t="s">
        <v>7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10">
        <f t="shared" si="6"/>
        <v>0</v>
      </c>
    </row>
    <row r="375" spans="1:55" ht="15.75" customHeight="1" x14ac:dyDescent="0.35">
      <c r="A375" s="7">
        <v>374</v>
      </c>
      <c r="B375" s="3" t="str">
        <f>RECEIPT!B375</f>
        <v>ALU.THIMBLE RING TYPE 70MM</v>
      </c>
      <c r="C375" s="3" t="s">
        <v>7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>
        <v>2</v>
      </c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>
        <v>2</v>
      </c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10">
        <f t="shared" si="6"/>
        <v>4</v>
      </c>
    </row>
    <row r="376" spans="1:55" ht="15.75" customHeight="1" x14ac:dyDescent="0.35">
      <c r="A376" s="7">
        <v>375</v>
      </c>
      <c r="B376" s="3" t="str">
        <f>RECEIPT!B376</f>
        <v>ALU.THIMBLE RING TYPE 50MM</v>
      </c>
      <c r="C376" s="3" t="s">
        <v>7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10">
        <f t="shared" si="6"/>
        <v>0</v>
      </c>
    </row>
    <row r="377" spans="1:55" ht="15.75" customHeight="1" x14ac:dyDescent="0.35">
      <c r="A377" s="7">
        <v>376</v>
      </c>
      <c r="B377" s="3" t="str">
        <f>RECEIPT!B377</f>
        <v>ALU.THIMBLE RING TYPE 400MM</v>
      </c>
      <c r="C377" s="3" t="s">
        <v>7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10">
        <f t="shared" si="6"/>
        <v>0</v>
      </c>
    </row>
    <row r="378" spans="1:55" ht="15.75" customHeight="1" x14ac:dyDescent="0.35">
      <c r="A378" s="7">
        <v>377</v>
      </c>
      <c r="B378" s="3" t="str">
        <f>RECEIPT!B378</f>
        <v>ALU.THIMBLE RING TYPE 35MM</v>
      </c>
      <c r="C378" s="3" t="s">
        <v>7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10">
        <f t="shared" si="6"/>
        <v>0</v>
      </c>
    </row>
    <row r="379" spans="1:55" ht="15.75" customHeight="1" x14ac:dyDescent="0.35">
      <c r="A379" s="7">
        <v>378</v>
      </c>
      <c r="B379" s="3" t="str">
        <f>RECEIPT!B379</f>
        <v>ALU.THIMBLE RING TYPE 300MM</v>
      </c>
      <c r="C379" s="3" t="s">
        <v>7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10">
        <f t="shared" si="6"/>
        <v>0</v>
      </c>
    </row>
    <row r="380" spans="1:55" ht="15.75" customHeight="1" x14ac:dyDescent="0.35">
      <c r="A380" s="7">
        <v>379</v>
      </c>
      <c r="B380" s="3" t="str">
        <f>RECEIPT!B380</f>
        <v>ALU.THIMBLE RING TYPE 25MM</v>
      </c>
      <c r="C380" s="3" t="s">
        <v>7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10">
        <f t="shared" si="6"/>
        <v>0</v>
      </c>
    </row>
    <row r="381" spans="1:55" ht="15.75" customHeight="1" x14ac:dyDescent="0.35">
      <c r="A381" s="7">
        <v>380</v>
      </c>
      <c r="B381" s="3" t="str">
        <f>RECEIPT!B381</f>
        <v>ALU.THIMBLE RING TYPE 185MM</v>
      </c>
      <c r="C381" s="3" t="s">
        <v>7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10">
        <f t="shared" si="6"/>
        <v>0</v>
      </c>
    </row>
    <row r="382" spans="1:55" ht="15.75" customHeight="1" x14ac:dyDescent="0.35">
      <c r="A382" s="7">
        <v>381</v>
      </c>
      <c r="B382" s="3" t="str">
        <f>RECEIPT!B382</f>
        <v>ALU.THIMBLE RING TYPE 120MM</v>
      </c>
      <c r="C382" s="3" t="s">
        <v>7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>
        <v>6</v>
      </c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10">
        <f t="shared" si="6"/>
        <v>6</v>
      </c>
    </row>
    <row r="383" spans="1:55" ht="15.75" customHeight="1" x14ac:dyDescent="0.35">
      <c r="A383" s="7">
        <v>382</v>
      </c>
      <c r="B383" s="3" t="str">
        <f>RECEIPT!B383</f>
        <v>AIR REGULATOR 1/2"</v>
      </c>
      <c r="C383" s="3" t="s">
        <v>7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10">
        <f t="shared" si="6"/>
        <v>0</v>
      </c>
    </row>
    <row r="384" spans="1:55" ht="15.75" customHeight="1" x14ac:dyDescent="0.35">
      <c r="A384" s="7">
        <v>383</v>
      </c>
      <c r="B384" s="3" t="str">
        <f>RECEIPT!B384</f>
        <v>AIR GUN</v>
      </c>
      <c r="C384" s="3" t="s">
        <v>7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10">
        <f t="shared" si="6"/>
        <v>0</v>
      </c>
    </row>
    <row r="385" spans="1:55" ht="15.75" customHeight="1" x14ac:dyDescent="0.35">
      <c r="A385" s="7">
        <v>384</v>
      </c>
      <c r="B385" s="3" t="str">
        <f>RECEIPT!B385</f>
        <v>AIR FILTER PINK 2120161530</v>
      </c>
      <c r="C385" s="3" t="s">
        <v>7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10">
        <f t="shared" si="6"/>
        <v>0</v>
      </c>
    </row>
    <row r="386" spans="1:55" ht="15.75" customHeight="1" x14ac:dyDescent="0.35">
      <c r="A386" s="7">
        <v>385</v>
      </c>
      <c r="B386" s="3" t="str">
        <f>RECEIPT!B386</f>
        <v>AIR FILTER 1/4"</v>
      </c>
      <c r="C386" s="3" t="s">
        <v>7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10">
        <f t="shared" ref="BC386:BC449" si="7">SUM(D386:BB386)</f>
        <v>0</v>
      </c>
    </row>
    <row r="387" spans="1:55" ht="15.75" customHeight="1" x14ac:dyDescent="0.35">
      <c r="A387" s="7">
        <v>386</v>
      </c>
      <c r="B387" s="3" t="str">
        <f>RECEIPT!B387</f>
        <v>AIR BLOWER</v>
      </c>
      <c r="C387" s="3" t="s">
        <v>7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>
        <v>1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10">
        <f t="shared" si="7"/>
        <v>1</v>
      </c>
    </row>
    <row r="388" spans="1:55" ht="15.75" customHeight="1" x14ac:dyDescent="0.35">
      <c r="A388" s="7">
        <v>387</v>
      </c>
      <c r="B388" s="3" t="str">
        <f>RECEIPT!B388</f>
        <v>3 PIN TOP FIRE PROOF</v>
      </c>
      <c r="C388" s="3" t="s">
        <v>7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10">
        <f t="shared" si="7"/>
        <v>0</v>
      </c>
    </row>
    <row r="389" spans="1:55" ht="15.75" customHeight="1" x14ac:dyDescent="0.35">
      <c r="A389" s="7">
        <v>388</v>
      </c>
      <c r="B389" s="3" t="str">
        <f>RECEIPT!B389</f>
        <v>3 PIN TOP 6A</v>
      </c>
      <c r="C389" s="3" t="s">
        <v>7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>
        <v>1</v>
      </c>
      <c r="T389" s="3"/>
      <c r="U389" s="3"/>
      <c r="V389" s="3"/>
      <c r="W389" s="3">
        <v>1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>
        <v>1</v>
      </c>
      <c r="AQ389" s="3"/>
      <c r="AR389" s="3"/>
      <c r="AS389" s="3"/>
      <c r="AT389" s="3"/>
      <c r="AU389" s="3"/>
      <c r="AV389" s="3"/>
      <c r="AW389" s="3"/>
      <c r="AX389" s="3">
        <v>1</v>
      </c>
      <c r="AY389" s="3"/>
      <c r="AZ389" s="3">
        <v>2</v>
      </c>
      <c r="BA389" s="3"/>
      <c r="BB389" s="3"/>
      <c r="BC389" s="10">
        <f t="shared" si="7"/>
        <v>6</v>
      </c>
    </row>
    <row r="390" spans="1:55" ht="15.75" customHeight="1" x14ac:dyDescent="0.35">
      <c r="A390" s="7">
        <v>389</v>
      </c>
      <c r="B390" s="3" t="str">
        <f>RECEIPT!B390</f>
        <v>3 PIN TOP 16A</v>
      </c>
      <c r="C390" s="3" t="s">
        <v>7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>
        <v>1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>
        <v>1</v>
      </c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10">
        <f t="shared" si="7"/>
        <v>2</v>
      </c>
    </row>
    <row r="391" spans="1:55" ht="15.75" customHeight="1" x14ac:dyDescent="0.35">
      <c r="A391" s="7">
        <v>390</v>
      </c>
      <c r="B391" s="3" t="str">
        <f>RECEIPT!B391</f>
        <v>HYDRAULIC PUMP MATCHING COIL</v>
      </c>
      <c r="C391" s="3" t="s">
        <v>7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>
        <v>1</v>
      </c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10">
        <f t="shared" si="7"/>
        <v>1</v>
      </c>
    </row>
    <row r="392" spans="1:55" ht="15.75" customHeight="1" x14ac:dyDescent="0.35">
      <c r="A392" s="7">
        <v>391</v>
      </c>
      <c r="B392" s="3" t="str">
        <f>RECEIPT!B392</f>
        <v>MCB 6A 1P</v>
      </c>
      <c r="C392" s="3" t="s">
        <v>7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10">
        <f t="shared" si="7"/>
        <v>0</v>
      </c>
    </row>
    <row r="393" spans="1:55" ht="15.75" customHeight="1" x14ac:dyDescent="0.35">
      <c r="A393" s="7">
        <v>392</v>
      </c>
      <c r="B393" s="3" t="str">
        <f>RECEIPT!B393</f>
        <v>PU CONNECTOR M10 X M10</v>
      </c>
      <c r="C393" s="3" t="s">
        <v>7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2</v>
      </c>
      <c r="BA393" s="3"/>
      <c r="BB393" s="3"/>
      <c r="BC393" s="10">
        <f t="shared" si="7"/>
        <v>2</v>
      </c>
    </row>
    <row r="394" spans="1:55" ht="15.75" customHeight="1" x14ac:dyDescent="0.35">
      <c r="A394" s="7">
        <v>393</v>
      </c>
      <c r="B394" s="3" t="str">
        <f>RECEIPT!B394</f>
        <v>PU TEE M10 X M10</v>
      </c>
      <c r="C394" s="3" t="s">
        <v>7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10">
        <f t="shared" si="7"/>
        <v>0</v>
      </c>
    </row>
    <row r="395" spans="1:55" ht="15.75" customHeight="1" x14ac:dyDescent="0.35">
      <c r="A395" s="7">
        <v>394</v>
      </c>
      <c r="B395" s="3">
        <f>RECEIPT!B395</f>
        <v>0</v>
      </c>
      <c r="C395" s="3" t="s">
        <v>7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10">
        <f t="shared" si="7"/>
        <v>0</v>
      </c>
    </row>
    <row r="396" spans="1:55" ht="15.75" customHeight="1" x14ac:dyDescent="0.35">
      <c r="A396" s="7">
        <v>395</v>
      </c>
      <c r="B396" s="3">
        <f>RECEIPT!B396</f>
        <v>0</v>
      </c>
      <c r="C396" s="3" t="s">
        <v>7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10">
        <f t="shared" si="7"/>
        <v>0</v>
      </c>
    </row>
    <row r="397" spans="1:55" ht="15.75" customHeight="1" x14ac:dyDescent="0.35">
      <c r="A397" s="7">
        <v>396</v>
      </c>
      <c r="B397" s="3">
        <f>RECEIPT!B397</f>
        <v>0</v>
      </c>
      <c r="C397" s="3" t="s">
        <v>7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10">
        <f t="shared" si="7"/>
        <v>0</v>
      </c>
    </row>
    <row r="398" spans="1:55" ht="15.75" customHeight="1" x14ac:dyDescent="0.35">
      <c r="A398" s="7">
        <v>397</v>
      </c>
      <c r="B398" s="3">
        <f>RECEIPT!B398</f>
        <v>0</v>
      </c>
      <c r="C398" s="3" t="s">
        <v>7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10">
        <f t="shared" si="7"/>
        <v>0</v>
      </c>
    </row>
    <row r="399" spans="1:55" ht="15.75" customHeight="1" x14ac:dyDescent="0.35">
      <c r="A399" s="7">
        <v>398</v>
      </c>
      <c r="B399" s="3">
        <f>RECEIPT!B399</f>
        <v>0</v>
      </c>
      <c r="C399" s="3" t="s">
        <v>7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10">
        <f t="shared" si="7"/>
        <v>0</v>
      </c>
    </row>
    <row r="400" spans="1:55" ht="15.75" customHeight="1" x14ac:dyDescent="0.35">
      <c r="A400" s="7">
        <v>399</v>
      </c>
      <c r="B400" s="3">
        <f>RECEIPT!B400</f>
        <v>0</v>
      </c>
      <c r="C400" s="3" t="s">
        <v>7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10">
        <f t="shared" si="7"/>
        <v>0</v>
      </c>
    </row>
    <row r="401" spans="1:55" ht="15.75" customHeight="1" x14ac:dyDescent="0.35">
      <c r="A401" s="7">
        <v>400</v>
      </c>
      <c r="B401" s="3">
        <f>RECEIPT!B401</f>
        <v>0</v>
      </c>
      <c r="C401" s="3" t="s">
        <v>7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10">
        <f t="shared" si="7"/>
        <v>0</v>
      </c>
    </row>
    <row r="402" spans="1:55" ht="15.75" customHeight="1" x14ac:dyDescent="0.35">
      <c r="A402" s="7">
        <v>401</v>
      </c>
      <c r="B402" s="3">
        <f>RECEIPT!B402</f>
        <v>0</v>
      </c>
      <c r="C402" s="3" t="s">
        <v>7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10">
        <f t="shared" si="7"/>
        <v>0</v>
      </c>
    </row>
    <row r="403" spans="1:55" ht="15.75" customHeight="1" x14ac:dyDescent="0.35">
      <c r="A403" s="7">
        <v>402</v>
      </c>
      <c r="B403" s="3">
        <f>RECEIPT!B403</f>
        <v>0</v>
      </c>
      <c r="C403" s="3" t="s">
        <v>7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10">
        <f t="shared" si="7"/>
        <v>0</v>
      </c>
    </row>
    <row r="404" spans="1:55" ht="15.75" customHeight="1" x14ac:dyDescent="0.35">
      <c r="A404" s="7">
        <v>403</v>
      </c>
      <c r="B404" s="3">
        <f>RECEIPT!B404</f>
        <v>0</v>
      </c>
      <c r="C404" s="3" t="s">
        <v>7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10">
        <f t="shared" si="7"/>
        <v>0</v>
      </c>
    </row>
    <row r="405" spans="1:55" ht="15.75" customHeight="1" x14ac:dyDescent="0.35">
      <c r="A405" s="7">
        <v>404</v>
      </c>
      <c r="B405" s="3">
        <f>RECEIPT!B405</f>
        <v>0</v>
      </c>
      <c r="C405" s="3" t="s">
        <v>7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10">
        <f t="shared" si="7"/>
        <v>0</v>
      </c>
    </row>
    <row r="406" spans="1:55" ht="15.75" customHeight="1" x14ac:dyDescent="0.35">
      <c r="A406" s="7">
        <v>405</v>
      </c>
      <c r="B406" s="3">
        <f>RECEIPT!B406</f>
        <v>0</v>
      </c>
      <c r="C406" s="3" t="s">
        <v>7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10">
        <f t="shared" si="7"/>
        <v>0</v>
      </c>
    </row>
    <row r="407" spans="1:55" ht="15.75" customHeight="1" x14ac:dyDescent="0.35">
      <c r="A407" s="7">
        <v>406</v>
      </c>
      <c r="B407" s="3">
        <f>RECEIPT!B407</f>
        <v>0</v>
      </c>
      <c r="C407" s="3" t="s">
        <v>7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10">
        <f t="shared" si="7"/>
        <v>0</v>
      </c>
    </row>
    <row r="408" spans="1:55" ht="15.75" customHeight="1" x14ac:dyDescent="0.35">
      <c r="A408" s="7">
        <v>407</v>
      </c>
      <c r="B408" s="3">
        <f>RECEIPT!B408</f>
        <v>0</v>
      </c>
      <c r="C408" s="3" t="s">
        <v>7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10">
        <f t="shared" si="7"/>
        <v>0</v>
      </c>
    </row>
    <row r="409" spans="1:55" ht="15.75" customHeight="1" x14ac:dyDescent="0.35">
      <c r="A409" s="7">
        <v>408</v>
      </c>
      <c r="B409" s="3">
        <f>RECEIPT!B409</f>
        <v>0</v>
      </c>
      <c r="C409" s="3" t="s">
        <v>7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10">
        <f t="shared" si="7"/>
        <v>0</v>
      </c>
    </row>
    <row r="410" spans="1:55" ht="15.75" customHeight="1" x14ac:dyDescent="0.35">
      <c r="A410" s="7">
        <v>409</v>
      </c>
      <c r="B410" s="3">
        <f>RECEIPT!B410</f>
        <v>0</v>
      </c>
      <c r="C410" s="3" t="s">
        <v>7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10">
        <f t="shared" si="7"/>
        <v>0</v>
      </c>
    </row>
    <row r="411" spans="1:55" ht="15.75" customHeight="1" x14ac:dyDescent="0.35">
      <c r="A411" s="7">
        <v>410</v>
      </c>
      <c r="B411" s="3">
        <f>RECEIPT!B411</f>
        <v>0</v>
      </c>
      <c r="C411" s="3" t="s">
        <v>7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10">
        <f t="shared" si="7"/>
        <v>0</v>
      </c>
    </row>
    <row r="412" spans="1:55" ht="15.75" customHeight="1" x14ac:dyDescent="0.35">
      <c r="A412" s="7">
        <v>411</v>
      </c>
      <c r="B412" s="3">
        <f>RECEIPT!B412</f>
        <v>0</v>
      </c>
      <c r="C412" s="3" t="s">
        <v>7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10">
        <f t="shared" si="7"/>
        <v>0</v>
      </c>
    </row>
    <row r="413" spans="1:55" ht="15.75" customHeight="1" x14ac:dyDescent="0.35">
      <c r="A413" s="7">
        <v>412</v>
      </c>
      <c r="B413" s="3">
        <f>RECEIPT!B413</f>
        <v>0</v>
      </c>
      <c r="C413" s="3" t="s">
        <v>7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10">
        <f t="shared" si="7"/>
        <v>0</v>
      </c>
    </row>
    <row r="414" spans="1:55" ht="15.75" customHeight="1" x14ac:dyDescent="0.35">
      <c r="A414" s="7">
        <v>413</v>
      </c>
      <c r="B414" s="3">
        <f>RECEIPT!B414</f>
        <v>0</v>
      </c>
      <c r="C414" s="3" t="s">
        <v>7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10">
        <f t="shared" si="7"/>
        <v>0</v>
      </c>
    </row>
    <row r="415" spans="1:55" ht="15.75" customHeight="1" x14ac:dyDescent="0.35">
      <c r="A415" s="7">
        <v>414</v>
      </c>
      <c r="B415" s="3">
        <f>RECEIPT!B415</f>
        <v>0</v>
      </c>
      <c r="C415" s="3" t="s">
        <v>7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10">
        <f t="shared" si="7"/>
        <v>0</v>
      </c>
    </row>
    <row r="416" spans="1:55" ht="15.75" customHeight="1" x14ac:dyDescent="0.35">
      <c r="A416" s="7">
        <v>415</v>
      </c>
      <c r="B416" s="3">
        <f>RECEIPT!B416</f>
        <v>0</v>
      </c>
      <c r="C416" s="3" t="s">
        <v>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10">
        <f t="shared" si="7"/>
        <v>0</v>
      </c>
    </row>
    <row r="417" spans="1:55" ht="15.75" customHeight="1" x14ac:dyDescent="0.35">
      <c r="A417" s="7">
        <v>416</v>
      </c>
      <c r="B417" s="3">
        <f>RECEIPT!B417</f>
        <v>0</v>
      </c>
      <c r="C417" s="3" t="s">
        <v>7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10">
        <f t="shared" si="7"/>
        <v>0</v>
      </c>
    </row>
    <row r="418" spans="1:55" ht="15.75" customHeight="1" x14ac:dyDescent="0.35">
      <c r="A418" s="7">
        <v>417</v>
      </c>
      <c r="B418" s="3">
        <f>RECEIPT!B418</f>
        <v>0</v>
      </c>
      <c r="C418" s="3" t="s">
        <v>7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10">
        <f t="shared" si="7"/>
        <v>0</v>
      </c>
    </row>
    <row r="419" spans="1:55" ht="15.75" customHeight="1" x14ac:dyDescent="0.35">
      <c r="A419" s="7">
        <v>418</v>
      </c>
      <c r="B419" s="3">
        <f>RECEIPT!B419</f>
        <v>0</v>
      </c>
      <c r="C419" s="3" t="s">
        <v>7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10">
        <f t="shared" si="7"/>
        <v>0</v>
      </c>
    </row>
    <row r="420" spans="1:55" ht="15.75" customHeight="1" x14ac:dyDescent="0.35">
      <c r="A420" s="7">
        <v>419</v>
      </c>
      <c r="B420" s="3">
        <f>RECEIPT!B420</f>
        <v>0</v>
      </c>
      <c r="C420" s="3" t="s">
        <v>7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10">
        <f t="shared" si="7"/>
        <v>0</v>
      </c>
    </row>
    <row r="421" spans="1:55" ht="15.75" customHeight="1" x14ac:dyDescent="0.35">
      <c r="A421" s="7">
        <v>420</v>
      </c>
      <c r="B421" s="3">
        <f>RECEIPT!B421</f>
        <v>0</v>
      </c>
      <c r="C421" s="3" t="s">
        <v>7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10">
        <f t="shared" si="7"/>
        <v>0</v>
      </c>
    </row>
    <row r="422" spans="1:55" ht="15.75" customHeight="1" x14ac:dyDescent="0.35">
      <c r="A422" s="7">
        <v>421</v>
      </c>
      <c r="B422" s="3">
        <f>RECEIPT!B422</f>
        <v>0</v>
      </c>
      <c r="C422" s="3" t="s">
        <v>7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10">
        <f t="shared" si="7"/>
        <v>0</v>
      </c>
    </row>
    <row r="423" spans="1:55" ht="15.75" customHeight="1" x14ac:dyDescent="0.35">
      <c r="A423" s="7">
        <v>422</v>
      </c>
      <c r="B423" s="3">
        <f>RECEIPT!B423</f>
        <v>0</v>
      </c>
      <c r="C423" s="3" t="s">
        <v>7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10">
        <f t="shared" si="7"/>
        <v>0</v>
      </c>
    </row>
    <row r="424" spans="1:55" ht="15.75" customHeight="1" x14ac:dyDescent="0.35">
      <c r="A424" s="7">
        <v>423</v>
      </c>
      <c r="B424" s="3">
        <f>RECEIPT!B424</f>
        <v>0</v>
      </c>
      <c r="C424" s="3" t="s">
        <v>7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10">
        <f t="shared" si="7"/>
        <v>0</v>
      </c>
    </row>
    <row r="425" spans="1:55" ht="15.75" customHeight="1" x14ac:dyDescent="0.35">
      <c r="A425" s="7">
        <v>424</v>
      </c>
      <c r="B425" s="3">
        <f>RECEIPT!B425</f>
        <v>0</v>
      </c>
      <c r="C425" s="3" t="s">
        <v>7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10">
        <f t="shared" si="7"/>
        <v>0</v>
      </c>
    </row>
    <row r="426" spans="1:55" ht="15.75" customHeight="1" x14ac:dyDescent="0.35">
      <c r="A426" s="7">
        <v>425</v>
      </c>
      <c r="B426" s="3">
        <f>RECEIPT!B426</f>
        <v>0</v>
      </c>
      <c r="C426" s="3" t="s">
        <v>7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10">
        <f t="shared" si="7"/>
        <v>0</v>
      </c>
    </row>
    <row r="427" spans="1:55" ht="15.75" customHeight="1" x14ac:dyDescent="0.35">
      <c r="A427" s="7">
        <v>426</v>
      </c>
      <c r="B427" s="3">
        <f>RECEIPT!B427</f>
        <v>0</v>
      </c>
      <c r="C427" s="3" t="s">
        <v>7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10">
        <f t="shared" si="7"/>
        <v>0</v>
      </c>
    </row>
    <row r="428" spans="1:55" ht="15.75" customHeight="1" x14ac:dyDescent="0.35">
      <c r="A428" s="7">
        <v>427</v>
      </c>
      <c r="B428" s="3">
        <f>RECEIPT!B428</f>
        <v>0</v>
      </c>
      <c r="C428" s="3" t="s">
        <v>7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10">
        <f t="shared" si="7"/>
        <v>0</v>
      </c>
    </row>
    <row r="429" spans="1:55" ht="15.75" customHeight="1" x14ac:dyDescent="0.35">
      <c r="A429" s="7">
        <v>428</v>
      </c>
      <c r="B429" s="3">
        <f>RECEIPT!B429</f>
        <v>0</v>
      </c>
      <c r="C429" s="3" t="s">
        <v>7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10">
        <f t="shared" si="7"/>
        <v>0</v>
      </c>
    </row>
    <row r="430" spans="1:55" ht="15.75" customHeight="1" x14ac:dyDescent="0.35">
      <c r="A430" s="7">
        <v>429</v>
      </c>
      <c r="B430" s="3">
        <f>RECEIPT!B430</f>
        <v>0</v>
      </c>
      <c r="C430" s="3" t="s">
        <v>7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10">
        <f t="shared" si="7"/>
        <v>0</v>
      </c>
    </row>
    <row r="431" spans="1:55" ht="15.75" customHeight="1" x14ac:dyDescent="0.35">
      <c r="A431" s="7">
        <v>430</v>
      </c>
      <c r="B431" s="3">
        <f>RECEIPT!B431</f>
        <v>0</v>
      </c>
      <c r="C431" s="3" t="s">
        <v>7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10">
        <f t="shared" si="7"/>
        <v>0</v>
      </c>
    </row>
    <row r="432" spans="1:55" ht="15.75" customHeight="1" x14ac:dyDescent="0.35">
      <c r="A432" s="7">
        <v>431</v>
      </c>
      <c r="B432" s="3">
        <f>RECEIPT!B432</f>
        <v>0</v>
      </c>
      <c r="C432" s="3" t="s">
        <v>7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10">
        <f t="shared" si="7"/>
        <v>0</v>
      </c>
    </row>
    <row r="433" spans="1:55" ht="15.75" customHeight="1" x14ac:dyDescent="0.35">
      <c r="A433" s="7">
        <v>432</v>
      </c>
      <c r="B433" s="3">
        <f>RECEIPT!B433</f>
        <v>0</v>
      </c>
      <c r="C433" s="3" t="s">
        <v>7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10">
        <f t="shared" si="7"/>
        <v>0</v>
      </c>
    </row>
    <row r="434" spans="1:55" ht="15.75" customHeight="1" x14ac:dyDescent="0.35">
      <c r="A434" s="7">
        <v>433</v>
      </c>
      <c r="B434" s="3">
        <f>RECEIPT!B434</f>
        <v>0</v>
      </c>
      <c r="C434" s="3" t="s">
        <v>7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10">
        <f t="shared" si="7"/>
        <v>0</v>
      </c>
    </row>
    <row r="435" spans="1:55" ht="15.75" customHeight="1" x14ac:dyDescent="0.35">
      <c r="A435" s="7">
        <v>434</v>
      </c>
      <c r="B435" s="3">
        <f>RECEIPT!B435</f>
        <v>0</v>
      </c>
      <c r="C435" s="3" t="s">
        <v>7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10">
        <f t="shared" si="7"/>
        <v>0</v>
      </c>
    </row>
    <row r="436" spans="1:55" ht="15.75" customHeight="1" x14ac:dyDescent="0.35">
      <c r="A436" s="7">
        <v>435</v>
      </c>
      <c r="B436" s="3">
        <f>RECEIPT!B436</f>
        <v>0</v>
      </c>
      <c r="C436" s="3" t="s">
        <v>7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10">
        <f t="shared" si="7"/>
        <v>0</v>
      </c>
    </row>
    <row r="437" spans="1:55" ht="15.75" customHeight="1" x14ac:dyDescent="0.35">
      <c r="A437" s="7">
        <v>436</v>
      </c>
      <c r="B437" s="3">
        <f>RECEIPT!B437</f>
        <v>0</v>
      </c>
      <c r="C437" s="3" t="s">
        <v>7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10">
        <f t="shared" si="7"/>
        <v>0</v>
      </c>
    </row>
    <row r="438" spans="1:55" ht="15.75" customHeight="1" x14ac:dyDescent="0.35">
      <c r="A438" s="7">
        <v>437</v>
      </c>
      <c r="B438" s="3">
        <f>RECEIPT!B438</f>
        <v>0</v>
      </c>
      <c r="C438" s="3" t="s">
        <v>7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10">
        <f t="shared" si="7"/>
        <v>0</v>
      </c>
    </row>
    <row r="439" spans="1:55" ht="15.75" customHeight="1" x14ac:dyDescent="0.35">
      <c r="A439" s="7">
        <v>438</v>
      </c>
      <c r="B439" s="3">
        <f>RECEIPT!B439</f>
        <v>0</v>
      </c>
      <c r="C439" s="3" t="s">
        <v>7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10">
        <f t="shared" si="7"/>
        <v>0</v>
      </c>
    </row>
    <row r="440" spans="1:55" ht="15.75" customHeight="1" x14ac:dyDescent="0.35">
      <c r="A440" s="7">
        <v>439</v>
      </c>
      <c r="B440" s="3">
        <f>RECEIPT!B440</f>
        <v>0</v>
      </c>
      <c r="C440" s="3" t="s">
        <v>7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10">
        <f t="shared" si="7"/>
        <v>0</v>
      </c>
    </row>
    <row r="441" spans="1:55" ht="15.75" customHeight="1" x14ac:dyDescent="0.35">
      <c r="A441" s="7">
        <v>440</v>
      </c>
      <c r="B441" s="3">
        <f>RECEIPT!B441</f>
        <v>0</v>
      </c>
      <c r="C441" s="3" t="s">
        <v>7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10">
        <f t="shared" si="7"/>
        <v>0</v>
      </c>
    </row>
    <row r="442" spans="1:55" ht="15.75" customHeight="1" x14ac:dyDescent="0.35">
      <c r="A442" s="7">
        <v>441</v>
      </c>
      <c r="B442" s="3">
        <f>RECEIPT!B442</f>
        <v>0</v>
      </c>
      <c r="C442" s="3" t="s">
        <v>7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10">
        <f t="shared" si="7"/>
        <v>0</v>
      </c>
    </row>
    <row r="443" spans="1:55" ht="15.75" customHeight="1" x14ac:dyDescent="0.35">
      <c r="A443" s="7">
        <v>442</v>
      </c>
      <c r="B443" s="3">
        <f>RECEIPT!B443</f>
        <v>0</v>
      </c>
      <c r="C443" s="3" t="s">
        <v>7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10">
        <f t="shared" si="7"/>
        <v>0</v>
      </c>
    </row>
    <row r="444" spans="1:55" ht="15.75" customHeight="1" x14ac:dyDescent="0.35">
      <c r="A444" s="7">
        <v>443</v>
      </c>
      <c r="B444" s="3">
        <f>RECEIPT!B444</f>
        <v>0</v>
      </c>
      <c r="C444" s="3" t="s">
        <v>7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10">
        <f t="shared" si="7"/>
        <v>0</v>
      </c>
    </row>
    <row r="445" spans="1:55" ht="15.75" customHeight="1" x14ac:dyDescent="0.35">
      <c r="A445" s="7">
        <v>444</v>
      </c>
      <c r="B445" s="3">
        <f>RECEIPT!B445</f>
        <v>0</v>
      </c>
      <c r="C445" s="3" t="s">
        <v>7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10">
        <f t="shared" si="7"/>
        <v>0</v>
      </c>
    </row>
    <row r="446" spans="1:55" ht="15.75" customHeight="1" x14ac:dyDescent="0.35">
      <c r="A446" s="7">
        <v>445</v>
      </c>
      <c r="B446" s="3">
        <f>RECEIPT!B446</f>
        <v>0</v>
      </c>
      <c r="C446" s="3" t="s">
        <v>7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10">
        <f t="shared" si="7"/>
        <v>0</v>
      </c>
    </row>
    <row r="447" spans="1:55" ht="15.75" customHeight="1" x14ac:dyDescent="0.35">
      <c r="A447" s="7">
        <v>446</v>
      </c>
      <c r="B447" s="3">
        <f>RECEIPT!B447</f>
        <v>0</v>
      </c>
      <c r="C447" s="3" t="s">
        <v>7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10">
        <f t="shared" si="7"/>
        <v>0</v>
      </c>
    </row>
    <row r="448" spans="1:55" ht="15.75" customHeight="1" x14ac:dyDescent="0.35">
      <c r="A448" s="7">
        <v>447</v>
      </c>
      <c r="B448" s="3">
        <f>RECEIPT!B448</f>
        <v>0</v>
      </c>
      <c r="C448" s="3" t="s">
        <v>7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10">
        <f t="shared" si="7"/>
        <v>0</v>
      </c>
    </row>
    <row r="449" spans="1:55" ht="15.75" customHeight="1" x14ac:dyDescent="0.35">
      <c r="A449" s="7">
        <v>448</v>
      </c>
      <c r="B449" s="3">
        <f>RECEIPT!B449</f>
        <v>0</v>
      </c>
      <c r="C449" s="3" t="s">
        <v>7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10">
        <f t="shared" si="7"/>
        <v>0</v>
      </c>
    </row>
    <row r="450" spans="1:55" ht="15.75" customHeight="1" x14ac:dyDescent="0.35">
      <c r="A450" s="7">
        <v>449</v>
      </c>
      <c r="B450" s="3">
        <f>RECEIPT!B450</f>
        <v>0</v>
      </c>
      <c r="C450" s="3" t="s">
        <v>7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10">
        <f t="shared" ref="BC450:BC476" si="8">SUM(D450:BB450)</f>
        <v>0</v>
      </c>
    </row>
    <row r="451" spans="1:55" ht="15.75" customHeight="1" x14ac:dyDescent="0.35">
      <c r="A451" s="7">
        <v>450</v>
      </c>
      <c r="B451" s="3">
        <f>RECEIPT!B451</f>
        <v>0</v>
      </c>
      <c r="C451" s="3" t="s">
        <v>7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10">
        <f t="shared" si="8"/>
        <v>0</v>
      </c>
    </row>
    <row r="452" spans="1:55" ht="15.75" customHeight="1" x14ac:dyDescent="0.35">
      <c r="A452" s="7">
        <v>451</v>
      </c>
      <c r="B452" s="3">
        <f>RECEIPT!B452</f>
        <v>0</v>
      </c>
      <c r="C452" s="3" t="s">
        <v>7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10">
        <f t="shared" si="8"/>
        <v>0</v>
      </c>
    </row>
    <row r="453" spans="1:55" ht="15.75" customHeight="1" x14ac:dyDescent="0.35">
      <c r="A453" s="7">
        <v>452</v>
      </c>
      <c r="B453" s="3">
        <f>RECEIPT!B453</f>
        <v>0</v>
      </c>
      <c r="C453" s="3" t="s">
        <v>7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10">
        <f t="shared" si="8"/>
        <v>0</v>
      </c>
    </row>
    <row r="454" spans="1:55" ht="15.75" customHeight="1" x14ac:dyDescent="0.35">
      <c r="A454" s="7">
        <v>453</v>
      </c>
      <c r="B454" s="3">
        <f>RECEIPT!B454</f>
        <v>0</v>
      </c>
      <c r="C454" s="3" t="s">
        <v>7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10">
        <f t="shared" si="8"/>
        <v>0</v>
      </c>
    </row>
    <row r="455" spans="1:55" ht="15.75" customHeight="1" x14ac:dyDescent="0.35">
      <c r="A455" s="7">
        <v>454</v>
      </c>
      <c r="B455" s="3">
        <f>RECEIPT!B455</f>
        <v>0</v>
      </c>
      <c r="C455" s="3" t="s">
        <v>7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10">
        <f t="shared" si="8"/>
        <v>0</v>
      </c>
    </row>
    <row r="456" spans="1:55" ht="15.75" customHeight="1" x14ac:dyDescent="0.35">
      <c r="A456" s="7">
        <v>455</v>
      </c>
      <c r="B456" s="3">
        <f>RECEIPT!B456</f>
        <v>0</v>
      </c>
      <c r="C456" s="3" t="s">
        <v>7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10">
        <f t="shared" si="8"/>
        <v>0</v>
      </c>
    </row>
    <row r="457" spans="1:55" ht="15.75" customHeight="1" x14ac:dyDescent="0.35">
      <c r="A457" s="7">
        <v>456</v>
      </c>
      <c r="B457" s="3">
        <f>RECEIPT!B457</f>
        <v>0</v>
      </c>
      <c r="C457" s="3" t="s">
        <v>7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10">
        <f t="shared" si="8"/>
        <v>0</v>
      </c>
    </row>
    <row r="458" spans="1:55" ht="15.75" customHeight="1" x14ac:dyDescent="0.35">
      <c r="A458" s="7">
        <v>457</v>
      </c>
      <c r="B458" s="3">
        <f>RECEIPT!B458</f>
        <v>0</v>
      </c>
      <c r="C458" s="3" t="s">
        <v>7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10">
        <f t="shared" si="8"/>
        <v>0</v>
      </c>
    </row>
    <row r="459" spans="1:55" ht="15.75" customHeight="1" x14ac:dyDescent="0.35">
      <c r="A459" s="7">
        <v>458</v>
      </c>
      <c r="B459" s="3">
        <f>RECEIPT!B459</f>
        <v>0</v>
      </c>
      <c r="C459" s="3" t="s">
        <v>7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10">
        <f t="shared" si="8"/>
        <v>0</v>
      </c>
    </row>
    <row r="460" spans="1:55" ht="15.75" customHeight="1" x14ac:dyDescent="0.35">
      <c r="A460" s="7">
        <v>459</v>
      </c>
      <c r="B460" s="3">
        <f>RECEIPT!B460</f>
        <v>0</v>
      </c>
      <c r="C460" s="3" t="s">
        <v>7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10">
        <f t="shared" si="8"/>
        <v>0</v>
      </c>
    </row>
    <row r="461" spans="1:55" ht="15.75" customHeight="1" x14ac:dyDescent="0.35">
      <c r="A461" s="7">
        <v>460</v>
      </c>
      <c r="B461" s="3">
        <f>RECEIPT!B461</f>
        <v>0</v>
      </c>
      <c r="C461" s="3" t="s">
        <v>7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10">
        <f t="shared" si="8"/>
        <v>0</v>
      </c>
    </row>
    <row r="462" spans="1:55" ht="15.75" customHeight="1" x14ac:dyDescent="0.35">
      <c r="A462" s="7">
        <v>461</v>
      </c>
      <c r="B462" s="3">
        <f>RECEIPT!B462</f>
        <v>0</v>
      </c>
      <c r="C462" s="3" t="s">
        <v>7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10">
        <f t="shared" si="8"/>
        <v>0</v>
      </c>
    </row>
    <row r="463" spans="1:55" ht="15.75" customHeight="1" x14ac:dyDescent="0.35">
      <c r="A463" s="7">
        <v>462</v>
      </c>
      <c r="B463" s="3">
        <f>RECEIPT!B463</f>
        <v>0</v>
      </c>
      <c r="C463" s="3" t="s">
        <v>7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10">
        <f t="shared" si="8"/>
        <v>0</v>
      </c>
    </row>
    <row r="464" spans="1:55" ht="15.75" customHeight="1" x14ac:dyDescent="0.35">
      <c r="A464" s="7">
        <v>463</v>
      </c>
      <c r="B464" s="3">
        <f>RECEIPT!B464</f>
        <v>0</v>
      </c>
      <c r="C464" s="3" t="s">
        <v>7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10">
        <f t="shared" si="8"/>
        <v>0</v>
      </c>
    </row>
    <row r="465" spans="1:55" ht="15.75" customHeight="1" x14ac:dyDescent="0.35">
      <c r="A465" s="7">
        <v>464</v>
      </c>
      <c r="B465" s="3">
        <f>RECEIPT!B465</f>
        <v>0</v>
      </c>
      <c r="C465" s="3" t="s">
        <v>7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10">
        <f t="shared" si="8"/>
        <v>0</v>
      </c>
    </row>
    <row r="466" spans="1:55" ht="15.75" customHeight="1" x14ac:dyDescent="0.35">
      <c r="A466" s="7">
        <v>465</v>
      </c>
      <c r="B466" s="3">
        <f>RECEIPT!B466</f>
        <v>0</v>
      </c>
      <c r="C466" s="3" t="s">
        <v>7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10">
        <f t="shared" si="8"/>
        <v>0</v>
      </c>
    </row>
    <row r="467" spans="1:55" ht="15.75" customHeight="1" x14ac:dyDescent="0.35">
      <c r="A467" s="7">
        <v>466</v>
      </c>
      <c r="B467" s="3">
        <f>RECEIPT!B467</f>
        <v>0</v>
      </c>
      <c r="C467" s="3" t="s">
        <v>7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10">
        <f t="shared" si="8"/>
        <v>0</v>
      </c>
    </row>
    <row r="468" spans="1:55" ht="15.75" customHeight="1" x14ac:dyDescent="0.35">
      <c r="A468" s="7">
        <v>467</v>
      </c>
      <c r="B468" s="3">
        <f>RECEIPT!B468</f>
        <v>0</v>
      </c>
      <c r="C468" s="3" t="s">
        <v>7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10">
        <f t="shared" si="8"/>
        <v>0</v>
      </c>
    </row>
    <row r="469" spans="1:55" ht="15.75" customHeight="1" x14ac:dyDescent="0.35">
      <c r="A469" s="7">
        <v>468</v>
      </c>
      <c r="B469" s="3">
        <f>RECEIPT!B469</f>
        <v>0</v>
      </c>
      <c r="C469" s="3" t="s">
        <v>7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10">
        <f t="shared" si="8"/>
        <v>0</v>
      </c>
    </row>
    <row r="470" spans="1:55" ht="15.75" customHeight="1" x14ac:dyDescent="0.35">
      <c r="A470" s="7">
        <v>469</v>
      </c>
      <c r="B470" s="3">
        <f>RECEIPT!B470</f>
        <v>0</v>
      </c>
      <c r="C470" s="3" t="s">
        <v>7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10">
        <f t="shared" si="8"/>
        <v>0</v>
      </c>
    </row>
    <row r="471" spans="1:55" ht="15.75" customHeight="1" x14ac:dyDescent="0.35">
      <c r="A471" s="7">
        <v>470</v>
      </c>
      <c r="B471" s="3">
        <f>RECEIPT!B471</f>
        <v>0</v>
      </c>
      <c r="C471" s="3" t="s">
        <v>7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10">
        <f t="shared" si="8"/>
        <v>0</v>
      </c>
    </row>
    <row r="472" spans="1:55" ht="15.75" customHeight="1" x14ac:dyDescent="0.35">
      <c r="A472" s="7">
        <v>471</v>
      </c>
      <c r="B472" s="3">
        <f>RECEIPT!B472</f>
        <v>0</v>
      </c>
      <c r="C472" s="3" t="s">
        <v>7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10">
        <f t="shared" si="8"/>
        <v>0</v>
      </c>
    </row>
    <row r="473" spans="1:55" ht="15.75" customHeight="1" x14ac:dyDescent="0.35">
      <c r="A473" s="7">
        <v>472</v>
      </c>
      <c r="B473" s="3">
        <f>RECEIPT!B473</f>
        <v>0</v>
      </c>
      <c r="C473" s="3" t="s">
        <v>7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10">
        <f t="shared" si="8"/>
        <v>0</v>
      </c>
    </row>
    <row r="474" spans="1:55" ht="15.75" customHeight="1" x14ac:dyDescent="0.35">
      <c r="A474" s="7">
        <v>473</v>
      </c>
      <c r="B474" s="3">
        <f>RECEIPT!B474</f>
        <v>0</v>
      </c>
      <c r="C474" s="3" t="s">
        <v>7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10">
        <f t="shared" si="8"/>
        <v>0</v>
      </c>
    </row>
    <row r="475" spans="1:55" ht="15.75" customHeight="1" x14ac:dyDescent="0.35">
      <c r="A475" s="7">
        <v>474</v>
      </c>
      <c r="B475" s="3">
        <f>RECEIPT!B475</f>
        <v>0</v>
      </c>
      <c r="C475" s="3" t="s">
        <v>7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10">
        <f t="shared" si="8"/>
        <v>0</v>
      </c>
    </row>
    <row r="476" spans="1:55" ht="15.75" customHeight="1" x14ac:dyDescent="0.35">
      <c r="A476" s="7">
        <v>475</v>
      </c>
      <c r="B476" s="3">
        <f>RECEIPT!B476</f>
        <v>0</v>
      </c>
      <c r="C476" s="3" t="s">
        <v>7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10">
        <f t="shared" si="8"/>
        <v>0</v>
      </c>
    </row>
    <row r="477" spans="1:55" ht="15.75" customHeight="1" x14ac:dyDescent="0.35">
      <c r="A477" s="7">
        <v>476</v>
      </c>
      <c r="B477" s="3">
        <f>RECEIPT!B477</f>
        <v>0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10"/>
    </row>
    <row r="478" spans="1:55" ht="15.75" customHeight="1" x14ac:dyDescent="0.35">
      <c r="A478" s="7">
        <v>477</v>
      </c>
      <c r="B478" s="3">
        <f>RECEIPT!B478</f>
        <v>0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10"/>
    </row>
    <row r="479" spans="1:55" ht="15.75" customHeight="1" x14ac:dyDescent="0.35">
      <c r="A479" s="7">
        <v>478</v>
      </c>
      <c r="B479" s="3">
        <f>RECEIPT!B479</f>
        <v>0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10"/>
    </row>
    <row r="480" spans="1:55" ht="15.75" customHeight="1" x14ac:dyDescent="0.35">
      <c r="A480" s="7">
        <v>479</v>
      </c>
      <c r="B480" s="3">
        <f>RECEIPT!B480</f>
        <v>0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10"/>
    </row>
    <row r="481" spans="1:55" ht="15.75" customHeight="1" x14ac:dyDescent="0.35">
      <c r="A481" s="7">
        <v>480</v>
      </c>
      <c r="B481" s="3">
        <f>RECEIPT!B481</f>
        <v>0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10"/>
    </row>
    <row r="482" spans="1:55" ht="15.75" customHeight="1" x14ac:dyDescent="0.35">
      <c r="A482" s="7">
        <v>481</v>
      </c>
      <c r="B482" s="3">
        <f>RECEIPT!B482</f>
        <v>0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10"/>
    </row>
    <row r="483" spans="1:55" ht="15.75" customHeight="1" x14ac:dyDescent="0.35">
      <c r="A483" s="7">
        <v>482</v>
      </c>
      <c r="B483" s="3">
        <f>RECEIPT!B483</f>
        <v>0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10"/>
    </row>
    <row r="484" spans="1:55" ht="15.75" customHeight="1" x14ac:dyDescent="0.35">
      <c r="A484" s="7">
        <v>483</v>
      </c>
      <c r="B484" s="3">
        <f>RECEIPT!B484</f>
        <v>0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10"/>
    </row>
    <row r="485" spans="1:55" ht="15.75" customHeight="1" x14ac:dyDescent="0.35">
      <c r="A485" s="7">
        <v>484</v>
      </c>
      <c r="B485" s="3">
        <f>RECEIPT!B485</f>
        <v>0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10"/>
    </row>
    <row r="486" spans="1:55" ht="15.75" customHeight="1" x14ac:dyDescent="0.35">
      <c r="A486" s="7">
        <v>485</v>
      </c>
      <c r="B486" s="3">
        <f>RECEIPT!B486</f>
        <v>0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10"/>
    </row>
    <row r="487" spans="1:55" ht="15.75" customHeight="1" x14ac:dyDescent="0.35">
      <c r="A487" s="7">
        <v>486</v>
      </c>
      <c r="B487" s="3">
        <f>RECEIPT!B487</f>
        <v>0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10"/>
    </row>
    <row r="488" spans="1:55" ht="15.75" customHeight="1" x14ac:dyDescent="0.35">
      <c r="A488" s="7">
        <v>487</v>
      </c>
      <c r="B488" s="3">
        <f>RECEIPT!B488</f>
        <v>0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10"/>
    </row>
    <row r="489" spans="1:55" ht="15.75" customHeight="1" x14ac:dyDescent="0.35">
      <c r="A489" s="7">
        <v>488</v>
      </c>
      <c r="B489" s="3">
        <f>RECEIPT!B489</f>
        <v>0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10"/>
    </row>
    <row r="490" spans="1:55" ht="15.75" customHeight="1" x14ac:dyDescent="0.35">
      <c r="A490" s="7">
        <v>489</v>
      </c>
      <c r="B490" s="3">
        <f>RECEIPT!B490</f>
        <v>0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10"/>
    </row>
    <row r="491" spans="1:55" ht="15.75" customHeight="1" x14ac:dyDescent="0.35">
      <c r="A491" s="7">
        <v>490</v>
      </c>
      <c r="B491" s="3">
        <f>RECEIPT!B491</f>
        <v>0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10"/>
    </row>
    <row r="492" spans="1:55" ht="15.75" customHeight="1" x14ac:dyDescent="0.35">
      <c r="A492" s="7">
        <v>491</v>
      </c>
      <c r="B492" s="3">
        <f>RECEIPT!B492</f>
        <v>0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10"/>
    </row>
    <row r="493" spans="1:55" ht="15.75" customHeight="1" x14ac:dyDescent="0.35">
      <c r="A493" s="7">
        <v>492</v>
      </c>
      <c r="B493" s="3">
        <f>RECEIPT!B493</f>
        <v>0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10"/>
    </row>
    <row r="494" spans="1:55" ht="15.75" customHeight="1" x14ac:dyDescent="0.35">
      <c r="A494" s="7">
        <v>493</v>
      </c>
      <c r="B494" s="3">
        <f>RECEIPT!B494</f>
        <v>0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10"/>
    </row>
    <row r="495" spans="1:55" ht="15.75" customHeight="1" x14ac:dyDescent="0.35">
      <c r="A495" s="7">
        <v>494</v>
      </c>
      <c r="B495" s="3">
        <f>RECEIPT!B495</f>
        <v>0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10"/>
    </row>
    <row r="496" spans="1:55" ht="15.75" customHeight="1" x14ac:dyDescent="0.35">
      <c r="A496" s="7">
        <v>495</v>
      </c>
      <c r="B496" s="3">
        <f>RECEIPT!B496</f>
        <v>0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10"/>
    </row>
    <row r="497" spans="1:55" ht="15.75" customHeight="1" x14ac:dyDescent="0.35">
      <c r="A497" s="7">
        <v>496</v>
      </c>
      <c r="B497" s="3">
        <f>RECEIPT!B497</f>
        <v>0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10"/>
    </row>
    <row r="498" spans="1:55" ht="15.75" customHeight="1" x14ac:dyDescent="0.35">
      <c r="A498" s="7">
        <v>497</v>
      </c>
      <c r="B498" s="3">
        <f>RECEIPT!B498</f>
        <v>0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10"/>
    </row>
    <row r="499" spans="1:55" ht="15.75" customHeight="1" x14ac:dyDescent="0.35">
      <c r="A499" s="7">
        <v>498</v>
      </c>
      <c r="B499" s="3">
        <f>RECEIPT!B499</f>
        <v>0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10"/>
    </row>
    <row r="500" spans="1:55" ht="15.75" customHeight="1" x14ac:dyDescent="0.35">
      <c r="A500" s="7">
        <v>499</v>
      </c>
      <c r="B500" s="3">
        <f>RECEIPT!B500</f>
        <v>0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10"/>
    </row>
    <row r="501" spans="1:55" ht="15.75" customHeight="1" x14ac:dyDescent="0.35">
      <c r="A501" s="7">
        <v>500</v>
      </c>
      <c r="B501" s="3">
        <f>RECEIPT!B501</f>
        <v>0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10"/>
    </row>
    <row r="502" spans="1:55" ht="15.75" customHeight="1" x14ac:dyDescent="0.35">
      <c r="A502" s="7">
        <v>501</v>
      </c>
      <c r="B502" s="3">
        <f>RECEIPT!B502</f>
        <v>0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10"/>
    </row>
    <row r="503" spans="1:55" ht="15.75" customHeight="1" x14ac:dyDescent="0.35">
      <c r="A503" s="7">
        <v>502</v>
      </c>
      <c r="B503" s="3">
        <f>RECEIPT!B503</f>
        <v>0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10"/>
    </row>
    <row r="504" spans="1:55" ht="15.75" customHeight="1" x14ac:dyDescent="0.35">
      <c r="A504" s="7">
        <v>503</v>
      </c>
      <c r="B504" s="3">
        <f>RECEIPT!B504</f>
        <v>0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10"/>
    </row>
    <row r="505" spans="1:55" ht="15.75" customHeight="1" x14ac:dyDescent="0.35">
      <c r="A505" s="7">
        <v>504</v>
      </c>
      <c r="B505" s="3">
        <f>RECEIPT!B505</f>
        <v>0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10"/>
    </row>
    <row r="506" spans="1:55" ht="15.75" customHeight="1" x14ac:dyDescent="0.35">
      <c r="A506" s="7">
        <v>505</v>
      </c>
      <c r="B506" s="3">
        <f>RECEIPT!B506</f>
        <v>0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10"/>
    </row>
    <row r="507" spans="1:55" ht="15.75" customHeight="1" x14ac:dyDescent="0.35">
      <c r="A507" s="7">
        <v>506</v>
      </c>
      <c r="B507" s="3">
        <f>RECEIPT!B507</f>
        <v>0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10"/>
    </row>
    <row r="508" spans="1:55" ht="15.75" customHeight="1" x14ac:dyDescent="0.35">
      <c r="A508" s="7">
        <v>507</v>
      </c>
      <c r="B508" s="3">
        <f>RECEIPT!B508</f>
        <v>0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10"/>
    </row>
    <row r="509" spans="1:55" ht="15.75" customHeight="1" x14ac:dyDescent="0.35">
      <c r="A509" s="7">
        <v>508</v>
      </c>
      <c r="B509" s="3">
        <f>RECEIPT!B509</f>
        <v>0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10"/>
    </row>
    <row r="510" spans="1:55" ht="15.75" customHeight="1" x14ac:dyDescent="0.35">
      <c r="A510" s="7">
        <v>509</v>
      </c>
      <c r="B510" s="3">
        <f>RECEIPT!B510</f>
        <v>0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10"/>
    </row>
    <row r="511" spans="1:55" ht="15.75" customHeight="1" x14ac:dyDescent="0.35">
      <c r="A511" s="7">
        <v>510</v>
      </c>
      <c r="B511" s="3">
        <f>RECEIPT!B511</f>
        <v>0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10"/>
    </row>
    <row r="512" spans="1:55" ht="15.75" customHeight="1" x14ac:dyDescent="0.35">
      <c r="A512" s="7">
        <v>511</v>
      </c>
      <c r="B512" s="3">
        <f>RECEIPT!B512</f>
        <v>0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10"/>
    </row>
    <row r="513" spans="1:55" ht="15.75" customHeight="1" x14ac:dyDescent="0.35">
      <c r="A513" s="7">
        <v>512</v>
      </c>
      <c r="B513" s="3">
        <f>RECEIPT!B513</f>
        <v>0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10"/>
    </row>
    <row r="514" spans="1:55" ht="15.75" customHeight="1" x14ac:dyDescent="0.35">
      <c r="A514" s="7">
        <v>513</v>
      </c>
      <c r="B514" s="3">
        <f>RECEIPT!B514</f>
        <v>0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10"/>
    </row>
    <row r="515" spans="1:55" ht="15.75" customHeight="1" x14ac:dyDescent="0.35">
      <c r="A515" s="7">
        <v>514</v>
      </c>
      <c r="B515" s="3">
        <f>RECEIPT!B515</f>
        <v>0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10"/>
    </row>
    <row r="516" spans="1:55" ht="15.75" customHeight="1" x14ac:dyDescent="0.35">
      <c r="A516" s="7">
        <v>515</v>
      </c>
      <c r="B516" s="3">
        <f>RECEIPT!B516</f>
        <v>0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10"/>
    </row>
    <row r="517" spans="1:55" ht="15.75" customHeight="1" x14ac:dyDescent="0.35">
      <c r="A517" s="7">
        <v>516</v>
      </c>
      <c r="B517" s="3">
        <f>RECEIPT!B517</f>
        <v>0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10"/>
    </row>
    <row r="518" spans="1:55" ht="15.75" customHeight="1" x14ac:dyDescent="0.35">
      <c r="A518" s="7">
        <v>517</v>
      </c>
      <c r="B518" s="3">
        <f>RECEIPT!B518</f>
        <v>0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10"/>
    </row>
    <row r="519" spans="1:55" ht="15.75" customHeight="1" x14ac:dyDescent="0.35">
      <c r="A519" s="7">
        <v>518</v>
      </c>
      <c r="B519" s="3">
        <f>RECEIPT!B519</f>
        <v>0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10"/>
    </row>
    <row r="520" spans="1:55" ht="15.75" customHeight="1" x14ac:dyDescent="0.35">
      <c r="A520" s="7">
        <v>519</v>
      </c>
      <c r="B520" s="3">
        <f>RECEIPT!B520</f>
        <v>0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10"/>
    </row>
    <row r="521" spans="1:55" ht="15.75" customHeight="1" x14ac:dyDescent="0.35">
      <c r="A521" s="7">
        <v>520</v>
      </c>
      <c r="B521" s="3">
        <f>RECEIPT!B521</f>
        <v>0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10"/>
    </row>
    <row r="522" spans="1:55" ht="15.75" customHeight="1" x14ac:dyDescent="0.35">
      <c r="A522" s="7">
        <v>521</v>
      </c>
      <c r="B522" s="3">
        <f>RECEIPT!B522</f>
        <v>0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10"/>
    </row>
    <row r="523" spans="1:55" ht="15.75" customHeight="1" x14ac:dyDescent="0.35">
      <c r="A523" s="7">
        <v>522</v>
      </c>
      <c r="B523" s="3">
        <f>RECEIPT!B523</f>
        <v>0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10"/>
    </row>
    <row r="524" spans="1:55" ht="15.75" customHeight="1" x14ac:dyDescent="0.35">
      <c r="A524" s="7">
        <v>523</v>
      </c>
      <c r="B524" s="3">
        <f>RECEIPT!B524</f>
        <v>0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10"/>
    </row>
    <row r="525" spans="1:55" ht="15.75" customHeight="1" x14ac:dyDescent="0.35">
      <c r="A525" s="7">
        <v>524</v>
      </c>
      <c r="B525" s="3">
        <f>RECEIPT!B525</f>
        <v>0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10"/>
    </row>
    <row r="526" spans="1:55" ht="15.75" customHeight="1" x14ac:dyDescent="0.35">
      <c r="A526" s="7">
        <v>525</v>
      </c>
      <c r="B526" s="3">
        <f>RECEIPT!B526</f>
        <v>0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10"/>
    </row>
    <row r="527" spans="1:55" ht="15.75" customHeight="1" x14ac:dyDescent="0.35">
      <c r="A527" s="7">
        <v>526</v>
      </c>
      <c r="B527" s="3">
        <f>RECEIPT!B527</f>
        <v>0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10"/>
    </row>
    <row r="528" spans="1:55" ht="15.75" customHeight="1" x14ac:dyDescent="0.35">
      <c r="A528" s="7">
        <v>527</v>
      </c>
      <c r="B528" s="3">
        <f>RECEIPT!B528</f>
        <v>0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10"/>
    </row>
    <row r="529" spans="1:55" ht="15.75" customHeight="1" x14ac:dyDescent="0.35">
      <c r="A529" s="7">
        <v>528</v>
      </c>
      <c r="B529" s="3">
        <f>RECEIPT!B529</f>
        <v>0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10"/>
    </row>
    <row r="530" spans="1:55" ht="15.75" customHeight="1" x14ac:dyDescent="0.35">
      <c r="A530" s="7">
        <v>529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10"/>
    </row>
    <row r="531" spans="1:55" ht="15.75" customHeight="1" x14ac:dyDescent="0.35">
      <c r="A531" s="7">
        <v>530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10"/>
    </row>
    <row r="532" spans="1:55" ht="15.75" customHeight="1" x14ac:dyDescent="0.35">
      <c r="A532" s="7">
        <v>531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10"/>
    </row>
    <row r="533" spans="1:55" ht="15.75" customHeight="1" x14ac:dyDescent="0.35">
      <c r="A533" s="7">
        <v>532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10"/>
    </row>
    <row r="534" spans="1:55" x14ac:dyDescent="0.25">
      <c r="C534" s="8"/>
    </row>
  </sheetData>
  <autoFilter ref="A1:M533">
    <sortState ref="A312:M312">
      <sortCondition ref="B1:B533"/>
    </sortState>
  </autoFilter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6"/>
  <sheetViews>
    <sheetView workbookViewId="0">
      <pane ySplit="1" topLeftCell="A55" activePane="bottomLeft" state="frozen"/>
      <selection pane="bottomLeft" activeCell="G76" sqref="G76"/>
    </sheetView>
  </sheetViews>
  <sheetFormatPr defaultRowHeight="15.75" x14ac:dyDescent="0.25"/>
  <cols>
    <col min="1" max="1" width="9.140625" style="7"/>
    <col min="2" max="2" width="39.7109375" style="3" customWidth="1"/>
    <col min="3" max="3" width="4.5703125" style="3" customWidth="1"/>
    <col min="4" max="4" width="11.28515625" style="3" customWidth="1"/>
    <col min="5" max="5" width="10.140625" style="3" customWidth="1"/>
    <col min="6" max="7" width="9.140625" style="3"/>
    <col min="8" max="16384" width="9.140625" style="2"/>
  </cols>
  <sheetData>
    <row r="1" spans="1:7" x14ac:dyDescent="0.25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7">
        <v>1</v>
      </c>
      <c r="B2" s="3" t="str">
        <f>RECEIPT!B2</f>
        <v>Y 8MM</v>
      </c>
      <c r="C2" s="3" t="s">
        <v>7</v>
      </c>
      <c r="D2" s="3">
        <v>8</v>
      </c>
      <c r="E2" s="3">
        <f>RECEIPT!Q2</f>
        <v>0</v>
      </c>
      <c r="F2" s="3">
        <f>ISSUE!BC2</f>
        <v>0</v>
      </c>
      <c r="G2" s="3">
        <f>+D2+E2-F2</f>
        <v>8</v>
      </c>
    </row>
    <row r="3" spans="1:7" x14ac:dyDescent="0.25">
      <c r="A3" s="7">
        <v>2</v>
      </c>
      <c r="B3" s="3" t="str">
        <f>RECEIPT!B3</f>
        <v>Y 10MM</v>
      </c>
      <c r="C3" s="3" t="s">
        <v>7</v>
      </c>
      <c r="D3" s="3">
        <v>10</v>
      </c>
      <c r="E3" s="3">
        <f>RECEIPT!Q3</f>
        <v>0</v>
      </c>
      <c r="F3" s="3">
        <f>ISSUE!BC3</f>
        <v>0</v>
      </c>
      <c r="G3" s="3">
        <f t="shared" ref="G3:G66" si="0">+D3+E3-F3</f>
        <v>10</v>
      </c>
    </row>
    <row r="4" spans="1:7" x14ac:dyDescent="0.25">
      <c r="A4" s="7">
        <v>3</v>
      </c>
      <c r="B4" s="3" t="str">
        <f>RECEIPT!B4</f>
        <v>WIRE CONNECTOR</v>
      </c>
      <c r="C4" s="3" t="s">
        <v>7</v>
      </c>
      <c r="D4" s="3">
        <v>4</v>
      </c>
      <c r="E4" s="3">
        <f>RECEIPT!Q4</f>
        <v>0</v>
      </c>
      <c r="F4" s="3">
        <f>ISSUE!BC4</f>
        <v>0</v>
      </c>
      <c r="G4" s="3">
        <f t="shared" si="0"/>
        <v>4</v>
      </c>
    </row>
    <row r="5" spans="1:7" x14ac:dyDescent="0.25">
      <c r="A5" s="7">
        <v>4</v>
      </c>
      <c r="B5" s="3" t="str">
        <f>RECEIPT!B5</f>
        <v>WINDER CONTROLLER</v>
      </c>
      <c r="C5" s="3" t="s">
        <v>7</v>
      </c>
      <c r="D5" s="3">
        <v>1</v>
      </c>
      <c r="E5" s="3">
        <f>RECEIPT!Q5</f>
        <v>0</v>
      </c>
      <c r="F5" s="3">
        <f>ISSUE!BC5</f>
        <v>0</v>
      </c>
      <c r="G5" s="3">
        <f t="shared" si="0"/>
        <v>1</v>
      </c>
    </row>
    <row r="6" spans="1:7" x14ac:dyDescent="0.25">
      <c r="A6" s="7">
        <v>5</v>
      </c>
      <c r="B6" s="3" t="str">
        <f>RECEIPT!B6</f>
        <v>WINDER CARD</v>
      </c>
      <c r="C6" s="3" t="s">
        <v>7</v>
      </c>
      <c r="D6" s="3">
        <v>1</v>
      </c>
      <c r="E6" s="3">
        <f>RECEIPT!Q6</f>
        <v>0</v>
      </c>
      <c r="F6" s="3">
        <f>ISSUE!BC6</f>
        <v>1</v>
      </c>
      <c r="G6" s="3">
        <f t="shared" si="0"/>
        <v>0</v>
      </c>
    </row>
    <row r="7" spans="1:7" x14ac:dyDescent="0.25">
      <c r="A7" s="7">
        <v>6</v>
      </c>
      <c r="B7" s="3" t="str">
        <f>RECEIPT!B7</f>
        <v>WELDING ROD MS</v>
      </c>
      <c r="C7" s="3" t="s">
        <v>151</v>
      </c>
      <c r="D7" s="3">
        <v>1</v>
      </c>
      <c r="E7" s="3">
        <f>RECEIPT!Q7</f>
        <v>2</v>
      </c>
      <c r="F7" s="3">
        <f>ISSUE!BC7</f>
        <v>3</v>
      </c>
      <c r="G7" s="3">
        <f t="shared" si="0"/>
        <v>0</v>
      </c>
    </row>
    <row r="8" spans="1:7" x14ac:dyDescent="0.25">
      <c r="A8" s="7">
        <v>7</v>
      </c>
      <c r="B8" s="3" t="str">
        <f>RECEIPT!B8</f>
        <v>WELDING GOGGLE</v>
      </c>
      <c r="C8" s="3" t="s">
        <v>7</v>
      </c>
      <c r="D8" s="3">
        <v>5</v>
      </c>
      <c r="E8" s="3">
        <f>RECEIPT!Q8</f>
        <v>0</v>
      </c>
      <c r="F8" s="3">
        <f>ISSUE!BC8</f>
        <v>0</v>
      </c>
      <c r="G8" s="3">
        <f t="shared" si="0"/>
        <v>5</v>
      </c>
    </row>
    <row r="9" spans="1:7" x14ac:dyDescent="0.25">
      <c r="A9" s="7">
        <v>8</v>
      </c>
      <c r="B9" s="3" t="str">
        <f>RECEIPT!B9</f>
        <v>VERNIER CALIPER</v>
      </c>
      <c r="C9" s="3" t="s">
        <v>7</v>
      </c>
      <c r="D9" s="3">
        <v>2</v>
      </c>
      <c r="E9" s="3">
        <f>RECEIPT!Q9</f>
        <v>0</v>
      </c>
      <c r="F9" s="3">
        <f>ISSUE!BC9</f>
        <v>0</v>
      </c>
      <c r="G9" s="3">
        <f t="shared" si="0"/>
        <v>2</v>
      </c>
    </row>
    <row r="10" spans="1:7" x14ac:dyDescent="0.25">
      <c r="A10" s="7">
        <v>9</v>
      </c>
      <c r="B10" s="3" t="str">
        <f>RECEIPT!B10</f>
        <v>UPS FUSE 315A</v>
      </c>
      <c r="C10" s="3" t="s">
        <v>7</v>
      </c>
      <c r="D10" s="3">
        <v>2</v>
      </c>
      <c r="E10" s="3">
        <f>RECEIPT!Q10</f>
        <v>0</v>
      </c>
      <c r="F10" s="3">
        <f>ISSUE!BC10</f>
        <v>0</v>
      </c>
      <c r="G10" s="3">
        <f t="shared" si="0"/>
        <v>2</v>
      </c>
    </row>
    <row r="11" spans="1:7" x14ac:dyDescent="0.25">
      <c r="A11" s="7">
        <v>10</v>
      </c>
      <c r="B11" s="3" t="str">
        <f>RECEIPT!B11</f>
        <v>UPS FAN</v>
      </c>
      <c r="C11" s="3" t="s">
        <v>7</v>
      </c>
      <c r="D11" s="3">
        <v>2</v>
      </c>
      <c r="E11" s="3">
        <f>RECEIPT!Q11</f>
        <v>0</v>
      </c>
      <c r="F11" s="3">
        <f>ISSUE!BC11</f>
        <v>0</v>
      </c>
      <c r="G11" s="3">
        <f t="shared" si="0"/>
        <v>2</v>
      </c>
    </row>
    <row r="12" spans="1:7" x14ac:dyDescent="0.25">
      <c r="A12" s="7">
        <v>11</v>
      </c>
      <c r="B12" s="3" t="str">
        <f>RECEIPT!B12</f>
        <v>U TYPE THIMBLE 2.5MM</v>
      </c>
      <c r="C12" s="3" t="s">
        <v>7</v>
      </c>
      <c r="D12" s="3">
        <v>150</v>
      </c>
      <c r="E12" s="3">
        <f>RECEIPT!Q12</f>
        <v>0</v>
      </c>
      <c r="F12" s="3">
        <f>ISSUE!BC12</f>
        <v>6</v>
      </c>
      <c r="G12" s="3">
        <f t="shared" si="0"/>
        <v>144</v>
      </c>
    </row>
    <row r="13" spans="1:7" x14ac:dyDescent="0.25">
      <c r="A13" s="7">
        <v>12</v>
      </c>
      <c r="B13" s="3" t="str">
        <f>RECEIPT!B13</f>
        <v>U TYPE THIMBLE 1.5MM</v>
      </c>
      <c r="C13" s="3" t="s">
        <v>7</v>
      </c>
      <c r="D13" s="3">
        <v>200</v>
      </c>
      <c r="E13" s="3">
        <f>RECEIPT!Q13</f>
        <v>0</v>
      </c>
      <c r="F13" s="3">
        <f>ISSUE!BC13</f>
        <v>0</v>
      </c>
      <c r="G13" s="3">
        <f t="shared" si="0"/>
        <v>200</v>
      </c>
    </row>
    <row r="14" spans="1:7" x14ac:dyDescent="0.25">
      <c r="A14" s="7">
        <v>13</v>
      </c>
      <c r="B14" s="3" t="str">
        <f>RECEIPT!B14</f>
        <v>TUBE LIGHT DRIVER</v>
      </c>
      <c r="C14" s="3" t="s">
        <v>7</v>
      </c>
      <c r="D14" s="3">
        <v>14</v>
      </c>
      <c r="E14" s="3">
        <f>RECEIPT!Q14</f>
        <v>0</v>
      </c>
      <c r="F14" s="3">
        <f>ISSUE!BC14</f>
        <v>3</v>
      </c>
      <c r="G14" s="3">
        <f t="shared" si="0"/>
        <v>11</v>
      </c>
    </row>
    <row r="15" spans="1:7" x14ac:dyDescent="0.25">
      <c r="A15" s="7">
        <v>14</v>
      </c>
      <c r="B15" s="3" t="str">
        <f>RECEIPT!B15</f>
        <v>TPR FUSE 75A</v>
      </c>
      <c r="C15" s="3" t="s">
        <v>7</v>
      </c>
      <c r="D15" s="3">
        <v>10</v>
      </c>
      <c r="E15" s="3">
        <f>RECEIPT!Q15</f>
        <v>0</v>
      </c>
      <c r="F15" s="3">
        <f>ISSUE!BC15</f>
        <v>0</v>
      </c>
      <c r="G15" s="3">
        <f t="shared" si="0"/>
        <v>10</v>
      </c>
    </row>
    <row r="16" spans="1:7" x14ac:dyDescent="0.25">
      <c r="A16" s="7">
        <v>15</v>
      </c>
      <c r="B16" s="3" t="str">
        <f>RECEIPT!B16</f>
        <v>TPR FUSE 55A</v>
      </c>
      <c r="C16" s="3" t="s">
        <v>7</v>
      </c>
      <c r="D16" s="3">
        <v>8</v>
      </c>
      <c r="E16" s="3">
        <f>RECEIPT!Q16</f>
        <v>0</v>
      </c>
      <c r="F16" s="3">
        <f>ISSUE!BC16</f>
        <v>0</v>
      </c>
      <c r="G16" s="3">
        <f t="shared" si="0"/>
        <v>8</v>
      </c>
    </row>
    <row r="17" spans="1:7" x14ac:dyDescent="0.25">
      <c r="A17" s="7">
        <v>16</v>
      </c>
      <c r="B17" s="3" t="str">
        <f>RECEIPT!B17</f>
        <v>TPR FUSE 50A</v>
      </c>
      <c r="C17" s="3" t="s">
        <v>7</v>
      </c>
      <c r="D17" s="3">
        <v>1</v>
      </c>
      <c r="E17" s="3">
        <f>RECEIPT!Q17</f>
        <v>0</v>
      </c>
      <c r="F17" s="3">
        <f>ISSUE!BC17</f>
        <v>0</v>
      </c>
      <c r="G17" s="3">
        <f t="shared" si="0"/>
        <v>1</v>
      </c>
    </row>
    <row r="18" spans="1:7" x14ac:dyDescent="0.25">
      <c r="A18" s="7">
        <v>17</v>
      </c>
      <c r="B18" s="3" t="str">
        <f>RECEIPT!B18</f>
        <v>TPR FUSE 35A</v>
      </c>
      <c r="C18" s="3" t="s">
        <v>7</v>
      </c>
      <c r="D18" s="3">
        <v>9</v>
      </c>
      <c r="E18" s="3">
        <f>RECEIPT!Q18</f>
        <v>0</v>
      </c>
      <c r="F18" s="3">
        <f>ISSUE!BC18</f>
        <v>0</v>
      </c>
      <c r="G18" s="3">
        <f t="shared" si="0"/>
        <v>9</v>
      </c>
    </row>
    <row r="19" spans="1:7" x14ac:dyDescent="0.25">
      <c r="A19" s="7">
        <v>18</v>
      </c>
      <c r="B19" s="3" t="str">
        <f>RECEIPT!B19</f>
        <v>TPR 40A</v>
      </c>
      <c r="C19" s="3" t="s">
        <v>45</v>
      </c>
      <c r="D19" s="3">
        <v>1</v>
      </c>
      <c r="E19" s="3">
        <f>RECEIPT!Q19</f>
        <v>0</v>
      </c>
      <c r="F19" s="3">
        <f>ISSUE!BC19</f>
        <v>0</v>
      </c>
      <c r="G19" s="3">
        <f t="shared" si="0"/>
        <v>1</v>
      </c>
    </row>
    <row r="20" spans="1:7" x14ac:dyDescent="0.25">
      <c r="A20" s="7">
        <v>19</v>
      </c>
      <c r="B20" s="3" t="str">
        <f>RECEIPT!B20</f>
        <v>TOGGLE SWITCH 15A</v>
      </c>
      <c r="C20" s="3" t="s">
        <v>7</v>
      </c>
      <c r="D20" s="3">
        <v>9</v>
      </c>
      <c r="E20" s="3">
        <f>RECEIPT!Q20</f>
        <v>0</v>
      </c>
      <c r="F20" s="3">
        <f>ISSUE!BC20</f>
        <v>3</v>
      </c>
      <c r="G20" s="3">
        <f t="shared" si="0"/>
        <v>6</v>
      </c>
    </row>
    <row r="21" spans="1:7" x14ac:dyDescent="0.25">
      <c r="A21" s="7">
        <v>20</v>
      </c>
      <c r="B21" s="3" t="str">
        <f>RECEIPT!B21</f>
        <v>TIMER ON DELAY</v>
      </c>
      <c r="C21" s="3" t="s">
        <v>7</v>
      </c>
      <c r="D21" s="3">
        <v>3</v>
      </c>
      <c r="E21" s="3">
        <f>RECEIPT!Q21</f>
        <v>0</v>
      </c>
      <c r="F21" s="3">
        <f>ISSUE!BC21</f>
        <v>0</v>
      </c>
      <c r="G21" s="3">
        <f t="shared" si="0"/>
        <v>3</v>
      </c>
    </row>
    <row r="22" spans="1:7" x14ac:dyDescent="0.25">
      <c r="A22" s="7">
        <v>21</v>
      </c>
      <c r="B22" s="3" t="str">
        <f>RECEIPT!B22</f>
        <v xml:space="preserve">TIMER DT 60 S </v>
      </c>
      <c r="C22" s="3" t="s">
        <v>7</v>
      </c>
      <c r="D22" s="3">
        <v>0</v>
      </c>
      <c r="E22" s="3">
        <f>RECEIPT!Q22</f>
        <v>2</v>
      </c>
      <c r="F22" s="3">
        <f>ISSUE!BC22</f>
        <v>2</v>
      </c>
      <c r="G22" s="3">
        <f t="shared" si="0"/>
        <v>0</v>
      </c>
    </row>
    <row r="23" spans="1:7" x14ac:dyDescent="0.25">
      <c r="A23" s="7">
        <v>22</v>
      </c>
      <c r="B23" s="3" t="str">
        <f>RECEIPT!B23</f>
        <v>TIMER AT8N</v>
      </c>
      <c r="C23" s="3" t="s">
        <v>45</v>
      </c>
      <c r="D23" s="3">
        <v>2</v>
      </c>
      <c r="E23" s="3">
        <f>RECEIPT!Q23</f>
        <v>0</v>
      </c>
      <c r="F23" s="3">
        <f>ISSUE!BC23</f>
        <v>0</v>
      </c>
      <c r="G23" s="3">
        <f t="shared" si="0"/>
        <v>2</v>
      </c>
    </row>
    <row r="24" spans="1:7" x14ac:dyDescent="0.25">
      <c r="A24" s="7">
        <v>23</v>
      </c>
      <c r="B24" s="3" t="str">
        <f>RECEIPT!B24</f>
        <v>TIMER 55ES-P8-230</v>
      </c>
      <c r="C24" s="3" t="s">
        <v>7</v>
      </c>
      <c r="D24" s="3">
        <v>1</v>
      </c>
      <c r="E24" s="3">
        <f>RECEIPT!Q24</f>
        <v>0</v>
      </c>
      <c r="F24" s="3">
        <f>ISSUE!BC24</f>
        <v>0</v>
      </c>
      <c r="G24" s="3">
        <f t="shared" si="0"/>
        <v>1</v>
      </c>
    </row>
    <row r="25" spans="1:7" x14ac:dyDescent="0.25">
      <c r="A25" s="7">
        <v>24</v>
      </c>
      <c r="B25" s="3" t="str">
        <f>RECEIPT!B25</f>
        <v>THIMBLE 150MM</v>
      </c>
      <c r="C25" s="3" t="s">
        <v>7</v>
      </c>
      <c r="D25" s="3">
        <v>0</v>
      </c>
      <c r="E25" s="3">
        <f>RECEIPT!Q25</f>
        <v>6</v>
      </c>
      <c r="F25" s="3">
        <f>ISSUE!BC25</f>
        <v>6</v>
      </c>
      <c r="G25" s="3">
        <f t="shared" si="0"/>
        <v>0</v>
      </c>
    </row>
    <row r="26" spans="1:7" x14ac:dyDescent="0.25">
      <c r="A26" s="7">
        <v>25</v>
      </c>
      <c r="B26" s="3" t="str">
        <f>RECEIPT!B26</f>
        <v>THERMOCOUPLE P TYPE</v>
      </c>
      <c r="C26" s="3" t="s">
        <v>7</v>
      </c>
      <c r="D26" s="3">
        <v>2</v>
      </c>
      <c r="E26" s="3">
        <f>RECEIPT!Q26</f>
        <v>0</v>
      </c>
      <c r="F26" s="3">
        <f>ISSUE!BC26</f>
        <v>0</v>
      </c>
      <c r="G26" s="3">
        <f t="shared" si="0"/>
        <v>2</v>
      </c>
    </row>
    <row r="27" spans="1:7" x14ac:dyDescent="0.25">
      <c r="A27" s="7">
        <v>26</v>
      </c>
      <c r="B27" s="3" t="str">
        <f>RECEIPT!B27</f>
        <v>THERMOCOUPLE K TYPE</v>
      </c>
      <c r="C27" s="3" t="s">
        <v>7</v>
      </c>
      <c r="D27" s="3">
        <v>5</v>
      </c>
      <c r="E27" s="3">
        <f>RECEIPT!Q27</f>
        <v>0</v>
      </c>
      <c r="F27" s="3">
        <f>ISSUE!BC27</f>
        <v>0</v>
      </c>
      <c r="G27" s="3">
        <f t="shared" si="0"/>
        <v>5</v>
      </c>
    </row>
    <row r="28" spans="1:7" x14ac:dyDescent="0.25">
      <c r="A28" s="7">
        <v>27</v>
      </c>
      <c r="B28" s="3" t="str">
        <f>RECEIPT!B28</f>
        <v>THERMOCOUPLE 5MTR</v>
      </c>
      <c r="C28" s="3" t="s">
        <v>7</v>
      </c>
      <c r="D28" s="3">
        <v>4</v>
      </c>
      <c r="E28" s="3">
        <f>RECEIPT!Q28</f>
        <v>0</v>
      </c>
      <c r="F28" s="3">
        <f>ISSUE!BC28</f>
        <v>0</v>
      </c>
      <c r="G28" s="3">
        <f t="shared" si="0"/>
        <v>4</v>
      </c>
    </row>
    <row r="29" spans="1:7" x14ac:dyDescent="0.25">
      <c r="A29" s="7">
        <v>28</v>
      </c>
      <c r="B29" s="3" t="str">
        <f>RECEIPT!B29</f>
        <v>THERMOCOUPLE 3MTR</v>
      </c>
      <c r="C29" s="3" t="s">
        <v>7</v>
      </c>
      <c r="D29" s="3">
        <v>11</v>
      </c>
      <c r="E29" s="3">
        <f>RECEIPT!Q29</f>
        <v>0</v>
      </c>
      <c r="F29" s="3">
        <f>ISSUE!BC29</f>
        <v>0</v>
      </c>
      <c r="G29" s="3">
        <f t="shared" si="0"/>
        <v>11</v>
      </c>
    </row>
    <row r="30" spans="1:7" x14ac:dyDescent="0.25">
      <c r="A30" s="7">
        <v>29</v>
      </c>
      <c r="B30" s="3" t="str">
        <f>RECEIPT!B30</f>
        <v>TEMP.CONTROLLER UTC 122</v>
      </c>
      <c r="C30" s="3" t="s">
        <v>7</v>
      </c>
      <c r="D30" s="3">
        <v>2</v>
      </c>
      <c r="E30" s="3">
        <f>RECEIPT!Q30</f>
        <v>0</v>
      </c>
      <c r="F30" s="3">
        <f>ISSUE!BC30</f>
        <v>0</v>
      </c>
      <c r="G30" s="3">
        <f t="shared" si="0"/>
        <v>2</v>
      </c>
    </row>
    <row r="31" spans="1:7" x14ac:dyDescent="0.25">
      <c r="A31" s="7">
        <v>30</v>
      </c>
      <c r="B31" s="3" t="str">
        <f>RECEIPT!B31</f>
        <v>TEMP.CONTROLLER TK4M-14RN</v>
      </c>
      <c r="C31" s="3" t="s">
        <v>7</v>
      </c>
      <c r="D31" s="3">
        <v>1</v>
      </c>
      <c r="E31" s="3">
        <f>RECEIPT!Q31</f>
        <v>0</v>
      </c>
      <c r="F31" s="3">
        <f>ISSUE!BC31</f>
        <v>0</v>
      </c>
      <c r="G31" s="3">
        <f t="shared" si="0"/>
        <v>1</v>
      </c>
    </row>
    <row r="32" spans="1:7" x14ac:dyDescent="0.25">
      <c r="A32" s="7">
        <v>31</v>
      </c>
      <c r="B32" s="3" t="str">
        <f>RECEIPT!B32</f>
        <v>TEMP.CONTROLLER DX 9</v>
      </c>
      <c r="C32" s="3" t="s">
        <v>7</v>
      </c>
      <c r="D32" s="3">
        <v>3</v>
      </c>
      <c r="E32" s="3">
        <f>RECEIPT!Q32</f>
        <v>0</v>
      </c>
      <c r="F32" s="3">
        <f>ISSUE!BC32</f>
        <v>0</v>
      </c>
      <c r="G32" s="3">
        <f t="shared" si="0"/>
        <v>3</v>
      </c>
    </row>
    <row r="33" spans="1:7" x14ac:dyDescent="0.25">
      <c r="A33" s="7">
        <v>32</v>
      </c>
      <c r="B33" s="3" t="str">
        <f>RECEIPT!B33</f>
        <v>TEE 8MM</v>
      </c>
      <c r="C33" s="3" t="s">
        <v>7</v>
      </c>
      <c r="D33" s="3">
        <v>21</v>
      </c>
      <c r="E33" s="3">
        <f>RECEIPT!Q33</f>
        <v>0</v>
      </c>
      <c r="F33" s="3">
        <f>ISSUE!BC33</f>
        <v>0</v>
      </c>
      <c r="G33" s="3">
        <f t="shared" si="0"/>
        <v>21</v>
      </c>
    </row>
    <row r="34" spans="1:7" x14ac:dyDescent="0.25">
      <c r="A34" s="7">
        <v>33</v>
      </c>
      <c r="B34" s="3" t="str">
        <f>RECEIPT!B34</f>
        <v>TEE 6MM</v>
      </c>
      <c r="C34" s="3" t="s">
        <v>7</v>
      </c>
      <c r="D34" s="3">
        <v>10</v>
      </c>
      <c r="E34" s="3">
        <f>RECEIPT!Q34</f>
        <v>0</v>
      </c>
      <c r="F34" s="3">
        <f>ISSUE!BC34</f>
        <v>0</v>
      </c>
      <c r="G34" s="3">
        <f t="shared" si="0"/>
        <v>10</v>
      </c>
    </row>
    <row r="35" spans="1:7" x14ac:dyDescent="0.25">
      <c r="A35" s="7">
        <v>34</v>
      </c>
      <c r="B35" s="3" t="str">
        <f>RECEIPT!B35</f>
        <v>TEE 12MM</v>
      </c>
      <c r="C35" s="3" t="s">
        <v>7</v>
      </c>
      <c r="D35" s="3">
        <v>8</v>
      </c>
      <c r="E35" s="3">
        <f>RECEIPT!Q35</f>
        <v>0</v>
      </c>
      <c r="F35" s="3">
        <f>ISSUE!BC35</f>
        <v>0</v>
      </c>
      <c r="G35" s="3">
        <f t="shared" si="0"/>
        <v>8</v>
      </c>
    </row>
    <row r="36" spans="1:7" x14ac:dyDescent="0.25">
      <c r="A36" s="7">
        <v>35</v>
      </c>
      <c r="B36" s="3" t="str">
        <f>RECEIPT!B36</f>
        <v>TEE 1/2X10</v>
      </c>
      <c r="C36" s="3" t="s">
        <v>7</v>
      </c>
      <c r="D36" s="3">
        <v>1</v>
      </c>
      <c r="E36" s="3">
        <f>RECEIPT!Q36</f>
        <v>0</v>
      </c>
      <c r="F36" s="3">
        <f>ISSUE!BC36</f>
        <v>0</v>
      </c>
      <c r="G36" s="3">
        <f t="shared" si="0"/>
        <v>1</v>
      </c>
    </row>
    <row r="37" spans="1:7" x14ac:dyDescent="0.25">
      <c r="A37" s="7">
        <v>36</v>
      </c>
      <c r="B37" s="3" t="str">
        <f>RECEIPT!B37</f>
        <v>TAPER SLEEVE H 315</v>
      </c>
      <c r="C37" s="3" t="s">
        <v>7</v>
      </c>
      <c r="D37" s="3">
        <v>2</v>
      </c>
      <c r="E37" s="3">
        <f>RECEIPT!Q37</f>
        <v>0</v>
      </c>
      <c r="F37" s="3">
        <f>ISSUE!BC37</f>
        <v>0</v>
      </c>
      <c r="G37" s="3">
        <f t="shared" si="0"/>
        <v>2</v>
      </c>
    </row>
    <row r="38" spans="1:7" x14ac:dyDescent="0.25">
      <c r="A38" s="7">
        <v>37</v>
      </c>
      <c r="B38" s="3" t="str">
        <f>RECEIPT!B38</f>
        <v>TAPE DISPENSOR</v>
      </c>
      <c r="C38" s="3" t="s">
        <v>7</v>
      </c>
      <c r="D38" s="3">
        <v>1</v>
      </c>
      <c r="E38" s="3">
        <f>RECEIPT!Q38</f>
        <v>6</v>
      </c>
      <c r="F38" s="3">
        <f>ISSUE!BC38</f>
        <v>4</v>
      </c>
      <c r="G38" s="3">
        <f t="shared" si="0"/>
        <v>3</v>
      </c>
    </row>
    <row r="39" spans="1:7" x14ac:dyDescent="0.25">
      <c r="A39" s="7">
        <v>38</v>
      </c>
      <c r="B39" s="3" t="str">
        <f>RECEIPT!B39</f>
        <v>TAFLON TAPE</v>
      </c>
      <c r="C39" s="3" t="s">
        <v>7</v>
      </c>
      <c r="D39" s="3">
        <v>2</v>
      </c>
      <c r="E39" s="3">
        <f>RECEIPT!Q39</f>
        <v>10</v>
      </c>
      <c r="F39" s="3">
        <f>ISSUE!BC39</f>
        <v>11</v>
      </c>
      <c r="G39" s="3">
        <f t="shared" si="0"/>
        <v>1</v>
      </c>
    </row>
    <row r="40" spans="1:7" x14ac:dyDescent="0.25">
      <c r="A40" s="7">
        <v>39</v>
      </c>
      <c r="B40" s="3" t="str">
        <f>RECEIPT!B40</f>
        <v>SWITCH 6A</v>
      </c>
      <c r="C40" s="3" t="s">
        <v>7</v>
      </c>
      <c r="D40" s="3">
        <v>16</v>
      </c>
      <c r="E40" s="3">
        <f>RECEIPT!Q40</f>
        <v>0</v>
      </c>
      <c r="F40" s="3">
        <f>ISSUE!BC40</f>
        <v>0</v>
      </c>
      <c r="G40" s="3">
        <f t="shared" si="0"/>
        <v>16</v>
      </c>
    </row>
    <row r="41" spans="1:7" x14ac:dyDescent="0.25">
      <c r="A41" s="7">
        <v>40</v>
      </c>
      <c r="B41" s="3" t="str">
        <f>RECEIPT!B41</f>
        <v>SWITCH 16A</v>
      </c>
      <c r="C41" s="3" t="s">
        <v>7</v>
      </c>
      <c r="D41" s="3">
        <v>10</v>
      </c>
      <c r="E41" s="3">
        <f>RECEIPT!Q41</f>
        <v>0</v>
      </c>
      <c r="F41" s="3">
        <f>ISSUE!BC41</f>
        <v>1</v>
      </c>
      <c r="G41" s="3">
        <f t="shared" si="0"/>
        <v>9</v>
      </c>
    </row>
    <row r="42" spans="1:7" x14ac:dyDescent="0.25">
      <c r="A42" s="7">
        <v>41</v>
      </c>
      <c r="B42" s="3" t="str">
        <f>RECEIPT!B42</f>
        <v>STAR DELTA TIMER</v>
      </c>
      <c r="C42" s="3" t="s">
        <v>7</v>
      </c>
      <c r="D42" s="3">
        <v>1</v>
      </c>
      <c r="E42" s="3">
        <f>RECEIPT!Q42</f>
        <v>0</v>
      </c>
      <c r="F42" s="3">
        <f>ISSUE!BC42</f>
        <v>0</v>
      </c>
      <c r="G42" s="3">
        <f t="shared" si="0"/>
        <v>1</v>
      </c>
    </row>
    <row r="43" spans="1:7" x14ac:dyDescent="0.25">
      <c r="A43" s="7">
        <v>42</v>
      </c>
      <c r="B43" s="3" t="str">
        <f>RECEIPT!B43</f>
        <v>SS HYDRAULIC NIPPLE D TYPE 3/8"</v>
      </c>
      <c r="C43" s="3" t="s">
        <v>7</v>
      </c>
      <c r="D43" s="3">
        <v>77</v>
      </c>
      <c r="E43" s="3">
        <f>RECEIPT!Q43</f>
        <v>0</v>
      </c>
      <c r="F43" s="3">
        <f>ISSUE!BC43</f>
        <v>0</v>
      </c>
      <c r="G43" s="3">
        <f t="shared" si="0"/>
        <v>77</v>
      </c>
    </row>
    <row r="44" spans="1:7" x14ac:dyDescent="0.25">
      <c r="A44" s="7">
        <v>43</v>
      </c>
      <c r="B44" s="3" t="str">
        <f>RECEIPT!B44</f>
        <v>SS HEX NIPPLE 3/4"</v>
      </c>
      <c r="C44" s="3" t="s">
        <v>7</v>
      </c>
      <c r="D44" s="3">
        <v>4</v>
      </c>
      <c r="E44" s="3">
        <f>RECEIPT!Q44</f>
        <v>0</v>
      </c>
      <c r="F44" s="3">
        <f>ISSUE!BC44</f>
        <v>4</v>
      </c>
      <c r="G44" s="3">
        <f t="shared" si="0"/>
        <v>0</v>
      </c>
    </row>
    <row r="45" spans="1:7" x14ac:dyDescent="0.25">
      <c r="A45" s="7">
        <v>44</v>
      </c>
      <c r="B45" s="3" t="str">
        <f>RECEIPT!B45</f>
        <v>SS HEX NIPPLE 1/2"</v>
      </c>
      <c r="C45" s="3" t="s">
        <v>7</v>
      </c>
      <c r="D45" s="3">
        <v>3</v>
      </c>
      <c r="E45" s="3">
        <f>RECEIPT!Q45</f>
        <v>0</v>
      </c>
      <c r="F45" s="3">
        <f>ISSUE!BC45</f>
        <v>0</v>
      </c>
      <c r="G45" s="3">
        <f t="shared" si="0"/>
        <v>3</v>
      </c>
    </row>
    <row r="46" spans="1:7" x14ac:dyDescent="0.25">
      <c r="A46" s="7">
        <v>45</v>
      </c>
      <c r="B46" s="3" t="str">
        <f>RECEIPT!B46</f>
        <v>SPRAY GUN</v>
      </c>
      <c r="C46" s="3" t="s">
        <v>7</v>
      </c>
      <c r="D46" s="3">
        <v>0</v>
      </c>
      <c r="E46" s="3">
        <f>RECEIPT!Q46</f>
        <v>0</v>
      </c>
      <c r="F46" s="3">
        <f>ISSUE!BC46</f>
        <v>0</v>
      </c>
      <c r="G46" s="3">
        <f t="shared" si="0"/>
        <v>0</v>
      </c>
    </row>
    <row r="47" spans="1:7" x14ac:dyDescent="0.25">
      <c r="A47" s="7">
        <v>46</v>
      </c>
      <c r="B47" s="3" t="str">
        <f>RECEIPT!B47</f>
        <v>SOLENOID VALVE WATER 3/4"</v>
      </c>
      <c r="C47" s="3" t="s">
        <v>7</v>
      </c>
      <c r="D47" s="3">
        <v>3</v>
      </c>
      <c r="E47" s="3">
        <f>RECEIPT!Q47</f>
        <v>0</v>
      </c>
      <c r="F47" s="3">
        <f>ISSUE!BC47</f>
        <v>0</v>
      </c>
      <c r="G47" s="3">
        <f t="shared" si="0"/>
        <v>3</v>
      </c>
    </row>
    <row r="48" spans="1:7" x14ac:dyDescent="0.25">
      <c r="A48" s="7">
        <v>47</v>
      </c>
      <c r="B48" s="3" t="str">
        <f>RECEIPT!B48</f>
        <v>SOLENOID VALVE WATER 1/2"</v>
      </c>
      <c r="C48" s="3" t="s">
        <v>7</v>
      </c>
      <c r="D48" s="3">
        <v>2</v>
      </c>
      <c r="E48" s="3">
        <f>RECEIPT!Q48</f>
        <v>0</v>
      </c>
      <c r="F48" s="3">
        <f>ISSUE!BC48</f>
        <v>0</v>
      </c>
      <c r="G48" s="3">
        <f t="shared" si="0"/>
        <v>2</v>
      </c>
    </row>
    <row r="49" spans="1:7" x14ac:dyDescent="0.25">
      <c r="A49" s="7">
        <v>48</v>
      </c>
      <c r="B49" s="3" t="str">
        <f>RECEIPT!B49</f>
        <v>SOLENOID VALVE AIR</v>
      </c>
      <c r="C49" s="3" t="s">
        <v>7</v>
      </c>
      <c r="D49" s="3">
        <v>6</v>
      </c>
      <c r="E49" s="3">
        <f>RECEIPT!Q49</f>
        <v>0</v>
      </c>
      <c r="F49" s="3">
        <f>ISSUE!BC49</f>
        <v>1</v>
      </c>
      <c r="G49" s="3">
        <f t="shared" si="0"/>
        <v>5</v>
      </c>
    </row>
    <row r="50" spans="1:7" x14ac:dyDescent="0.25">
      <c r="A50" s="7">
        <v>49</v>
      </c>
      <c r="B50" s="3" t="str">
        <f>RECEIPT!B50</f>
        <v xml:space="preserve">SOLENOID COIL WATER </v>
      </c>
      <c r="C50" s="3" t="s">
        <v>7</v>
      </c>
      <c r="D50" s="3">
        <v>11</v>
      </c>
      <c r="E50" s="3">
        <f>RECEIPT!Q50</f>
        <v>0</v>
      </c>
      <c r="F50" s="3">
        <f>ISSUE!BC50</f>
        <v>1</v>
      </c>
      <c r="G50" s="3">
        <f t="shared" si="0"/>
        <v>10</v>
      </c>
    </row>
    <row r="51" spans="1:7" x14ac:dyDescent="0.25">
      <c r="A51" s="7">
        <v>50</v>
      </c>
      <c r="B51" s="3" t="str">
        <f>RECEIPT!B51</f>
        <v>SOLENOID COIL AIR</v>
      </c>
      <c r="C51" s="3" t="s">
        <v>7</v>
      </c>
      <c r="D51" s="3">
        <v>20</v>
      </c>
      <c r="E51" s="3">
        <f>RECEIPT!Q51</f>
        <v>0</v>
      </c>
      <c r="F51" s="3">
        <f>ISSUE!BC51</f>
        <v>2</v>
      </c>
      <c r="G51" s="3">
        <f t="shared" si="0"/>
        <v>18</v>
      </c>
    </row>
    <row r="52" spans="1:7" x14ac:dyDescent="0.25">
      <c r="A52" s="7">
        <v>51</v>
      </c>
      <c r="B52" s="3" t="str">
        <f>RECEIPT!B52</f>
        <v>SOLENOID COIL 14837A</v>
      </c>
      <c r="C52" s="3" t="s">
        <v>7</v>
      </c>
      <c r="D52" s="3">
        <v>2</v>
      </c>
      <c r="E52" s="3">
        <f>RECEIPT!Q52</f>
        <v>0</v>
      </c>
      <c r="F52" s="3">
        <f>ISSUE!BC52</f>
        <v>0</v>
      </c>
      <c r="G52" s="3">
        <f t="shared" si="0"/>
        <v>2</v>
      </c>
    </row>
    <row r="53" spans="1:7" x14ac:dyDescent="0.25">
      <c r="A53" s="7">
        <v>52</v>
      </c>
      <c r="B53" s="3" t="str">
        <f>RECEIPT!B53</f>
        <v>SOCKET 6A</v>
      </c>
      <c r="C53" s="3" t="s">
        <v>7</v>
      </c>
      <c r="D53" s="3">
        <v>12</v>
      </c>
      <c r="E53" s="3">
        <f>RECEIPT!Q53</f>
        <v>0</v>
      </c>
      <c r="F53" s="3">
        <f>ISSUE!BC53</f>
        <v>5</v>
      </c>
      <c r="G53" s="3">
        <f t="shared" si="0"/>
        <v>7</v>
      </c>
    </row>
    <row r="54" spans="1:7" x14ac:dyDescent="0.25">
      <c r="A54" s="7">
        <v>53</v>
      </c>
      <c r="B54" s="3" t="str">
        <f>RECEIPT!B54</f>
        <v>SOCKET 16A</v>
      </c>
      <c r="C54" s="3" t="s">
        <v>7</v>
      </c>
      <c r="D54" s="3">
        <v>10</v>
      </c>
      <c r="E54" s="3">
        <f>RECEIPT!Q54</f>
        <v>0</v>
      </c>
      <c r="F54" s="3">
        <f>ISSUE!BC54</f>
        <v>7</v>
      </c>
      <c r="G54" s="3">
        <f t="shared" si="0"/>
        <v>3</v>
      </c>
    </row>
    <row r="55" spans="1:7" x14ac:dyDescent="0.25">
      <c r="A55" s="7">
        <v>54</v>
      </c>
      <c r="B55" s="3" t="str">
        <f>RECEIPT!B55</f>
        <v>SMOKE SENSOR</v>
      </c>
      <c r="C55" s="3" t="s">
        <v>7</v>
      </c>
      <c r="D55" s="3">
        <v>1</v>
      </c>
      <c r="E55" s="3">
        <f>RECEIPT!Q55</f>
        <v>0</v>
      </c>
      <c r="F55" s="3">
        <f>ISSUE!BC55</f>
        <v>0</v>
      </c>
      <c r="G55" s="3">
        <f t="shared" si="0"/>
        <v>1</v>
      </c>
    </row>
    <row r="56" spans="1:7" x14ac:dyDescent="0.25">
      <c r="A56" s="7">
        <v>55</v>
      </c>
      <c r="B56" s="3" t="str">
        <f>RECEIPT!B56</f>
        <v>SENSOR ZERO WSITCH</v>
      </c>
      <c r="C56" s="3" t="s">
        <v>7</v>
      </c>
      <c r="D56" s="3">
        <v>2</v>
      </c>
      <c r="E56" s="3">
        <f>RECEIPT!Q56</f>
        <v>0</v>
      </c>
      <c r="F56" s="3">
        <f>ISSUE!BC56</f>
        <v>0</v>
      </c>
      <c r="G56" s="3">
        <f t="shared" si="0"/>
        <v>2</v>
      </c>
    </row>
    <row r="57" spans="1:7" x14ac:dyDescent="0.25">
      <c r="A57" s="7">
        <v>56</v>
      </c>
      <c r="B57" s="3" t="str">
        <f>RECEIPT!B57</f>
        <v>SENSOR BODY</v>
      </c>
      <c r="C57" s="3" t="s">
        <v>7</v>
      </c>
      <c r="D57" s="3">
        <v>2</v>
      </c>
      <c r="E57" s="3">
        <f>RECEIPT!Q57</f>
        <v>0</v>
      </c>
      <c r="F57" s="3">
        <f>ISSUE!BC57</f>
        <v>0</v>
      </c>
      <c r="G57" s="3">
        <f t="shared" si="0"/>
        <v>2</v>
      </c>
    </row>
    <row r="58" spans="1:7" x14ac:dyDescent="0.25">
      <c r="A58" s="7">
        <v>57</v>
      </c>
      <c r="B58" s="3" t="str">
        <f>RECEIPT!B58</f>
        <v>SELF DRILLING SCREW 12 X 35</v>
      </c>
      <c r="C58" s="3" t="s">
        <v>7</v>
      </c>
      <c r="D58" s="3">
        <v>0</v>
      </c>
      <c r="E58" s="3">
        <f>RECEIPT!Q58</f>
        <v>0</v>
      </c>
      <c r="F58" s="3">
        <f>ISSUE!BC58</f>
        <v>0</v>
      </c>
      <c r="G58" s="3">
        <f t="shared" si="0"/>
        <v>0</v>
      </c>
    </row>
    <row r="59" spans="1:7" x14ac:dyDescent="0.25">
      <c r="A59" s="7">
        <v>58</v>
      </c>
      <c r="B59" s="3" t="str">
        <f>RECEIPT!B59</f>
        <v>SELECTOR SWITCH</v>
      </c>
      <c r="C59" s="3" t="s">
        <v>7</v>
      </c>
      <c r="D59" s="3">
        <v>4</v>
      </c>
      <c r="E59" s="3">
        <f>RECEIPT!Q59</f>
        <v>0</v>
      </c>
      <c r="F59" s="3">
        <f>ISSUE!BC59</f>
        <v>0</v>
      </c>
      <c r="G59" s="3">
        <f t="shared" si="0"/>
        <v>4</v>
      </c>
    </row>
    <row r="60" spans="1:7" x14ac:dyDescent="0.25">
      <c r="A60" s="7">
        <v>59</v>
      </c>
      <c r="B60" s="3" t="str">
        <f>RECEIPT!B60</f>
        <v>ROTARY VALVE 3/4"</v>
      </c>
      <c r="C60" s="3" t="s">
        <v>7</v>
      </c>
      <c r="D60" s="3">
        <v>4</v>
      </c>
      <c r="E60" s="3">
        <f>RECEIPT!Q60</f>
        <v>0</v>
      </c>
      <c r="F60" s="3">
        <f>ISSUE!BC60</f>
        <v>0</v>
      </c>
      <c r="G60" s="3">
        <f t="shared" si="0"/>
        <v>4</v>
      </c>
    </row>
    <row r="61" spans="1:7" x14ac:dyDescent="0.25">
      <c r="A61" s="7">
        <v>60</v>
      </c>
      <c r="B61" s="3" t="str">
        <f>RECEIPT!B61</f>
        <v>ROTARY VALVE 1/2"</v>
      </c>
      <c r="C61" s="3" t="s">
        <v>7</v>
      </c>
      <c r="D61" s="3">
        <v>2</v>
      </c>
      <c r="E61" s="3">
        <f>RECEIPT!Q61</f>
        <v>0</v>
      </c>
      <c r="F61" s="3">
        <f>ISSUE!BC61</f>
        <v>1</v>
      </c>
      <c r="G61" s="3">
        <f t="shared" si="0"/>
        <v>1</v>
      </c>
    </row>
    <row r="62" spans="1:7" x14ac:dyDescent="0.25">
      <c r="A62" s="7">
        <v>61</v>
      </c>
      <c r="B62" s="3" t="str">
        <f>RECEIPT!B62</f>
        <v>ROTARY VALVE 1.5"</v>
      </c>
      <c r="C62" s="3" t="s">
        <v>7</v>
      </c>
      <c r="D62" s="3">
        <v>1</v>
      </c>
      <c r="E62" s="3">
        <f>RECEIPT!Q62</f>
        <v>0</v>
      </c>
      <c r="F62" s="3">
        <f>ISSUE!BC62</f>
        <v>0</v>
      </c>
      <c r="G62" s="3">
        <f t="shared" si="0"/>
        <v>1</v>
      </c>
    </row>
    <row r="63" spans="1:7" x14ac:dyDescent="0.25">
      <c r="A63" s="7">
        <v>62</v>
      </c>
      <c r="B63" s="3" t="str">
        <f>RECEIPT!B63</f>
        <v>ROTARY VALVE 1"</v>
      </c>
      <c r="C63" s="3" t="s">
        <v>7</v>
      </c>
      <c r="D63" s="3">
        <v>1</v>
      </c>
      <c r="E63" s="3">
        <f>RECEIPT!Q63</f>
        <v>0</v>
      </c>
      <c r="F63" s="3">
        <f>ISSUE!BC63</f>
        <v>0</v>
      </c>
      <c r="G63" s="3">
        <f t="shared" si="0"/>
        <v>1</v>
      </c>
    </row>
    <row r="64" spans="1:7" x14ac:dyDescent="0.25">
      <c r="A64" s="7">
        <v>63</v>
      </c>
      <c r="B64" s="3" t="str">
        <f>RECEIPT!B64</f>
        <v>ROTARY ENCODER ENC 1-1-T-24</v>
      </c>
      <c r="C64" s="3" t="s">
        <v>7</v>
      </c>
      <c r="D64" s="3">
        <v>1</v>
      </c>
      <c r="E64" s="3">
        <f>RECEIPT!Q64</f>
        <v>0</v>
      </c>
      <c r="F64" s="3">
        <f>ISSUE!BC64</f>
        <v>0</v>
      </c>
      <c r="G64" s="3">
        <f t="shared" si="0"/>
        <v>1</v>
      </c>
    </row>
    <row r="65" spans="1:7" x14ac:dyDescent="0.25">
      <c r="A65" s="7">
        <v>64</v>
      </c>
      <c r="B65" s="3" t="str">
        <f>RECEIPT!B65</f>
        <v>RO MOTOR</v>
      </c>
      <c r="C65" s="3" t="s">
        <v>7</v>
      </c>
      <c r="D65" s="3">
        <v>2</v>
      </c>
      <c r="E65" s="3">
        <f>RECEIPT!Q65</f>
        <v>0</v>
      </c>
      <c r="F65" s="3">
        <f>ISSUE!BC65</f>
        <v>0</v>
      </c>
      <c r="G65" s="3">
        <f t="shared" si="0"/>
        <v>2</v>
      </c>
    </row>
    <row r="66" spans="1:7" x14ac:dyDescent="0.25">
      <c r="A66" s="7">
        <v>65</v>
      </c>
      <c r="B66" s="3" t="str">
        <f>RECEIPT!B66</f>
        <v>RO FILTER</v>
      </c>
      <c r="C66" s="3" t="s">
        <v>7</v>
      </c>
      <c r="D66" s="3">
        <v>3</v>
      </c>
      <c r="E66" s="3">
        <f>RECEIPT!Q66</f>
        <v>0</v>
      </c>
      <c r="F66" s="3">
        <f>ISSUE!BC66</f>
        <v>3</v>
      </c>
      <c r="G66" s="3">
        <f t="shared" si="0"/>
        <v>0</v>
      </c>
    </row>
    <row r="67" spans="1:7" x14ac:dyDescent="0.25">
      <c r="A67" s="7">
        <v>66</v>
      </c>
      <c r="B67" s="3" t="str">
        <f>RECEIPT!B67</f>
        <v>RO ADAPTER 24V</v>
      </c>
      <c r="C67" s="3" t="s">
        <v>7</v>
      </c>
      <c r="D67" s="3">
        <v>2</v>
      </c>
      <c r="E67" s="3">
        <f>RECEIPT!Q67</f>
        <v>0</v>
      </c>
      <c r="F67" s="3">
        <f>ISSUE!BC67</f>
        <v>0</v>
      </c>
      <c r="G67" s="3">
        <f t="shared" ref="G67:G130" si="1">+D67+E67-F67</f>
        <v>2</v>
      </c>
    </row>
    <row r="68" spans="1:7" x14ac:dyDescent="0.25">
      <c r="A68" s="7">
        <v>67</v>
      </c>
      <c r="B68" s="3" t="str">
        <f>RECEIPT!B68</f>
        <v>RING TYPE THIMBLE 16MM</v>
      </c>
      <c r="C68" s="3" t="s">
        <v>7</v>
      </c>
      <c r="D68" s="3">
        <v>1</v>
      </c>
      <c r="E68" s="3">
        <f>RECEIPT!Q68</f>
        <v>0</v>
      </c>
      <c r="F68" s="3">
        <f>ISSUE!BC68</f>
        <v>0</v>
      </c>
      <c r="G68" s="3">
        <f t="shared" si="1"/>
        <v>1</v>
      </c>
    </row>
    <row r="69" spans="1:7" x14ac:dyDescent="0.25">
      <c r="A69" s="7">
        <v>68</v>
      </c>
      <c r="B69" s="3" t="str">
        <f>RECEIPT!B69</f>
        <v>COPPER THIMBLERING TYPE 10MM</v>
      </c>
      <c r="C69" s="3" t="s">
        <v>7</v>
      </c>
      <c r="D69" s="3">
        <v>10</v>
      </c>
      <c r="E69" s="3">
        <f>RECEIPT!Q69</f>
        <v>0</v>
      </c>
      <c r="F69" s="3">
        <f>ISSUE!BC69</f>
        <v>10</v>
      </c>
      <c r="G69" s="3">
        <f t="shared" si="1"/>
        <v>0</v>
      </c>
    </row>
    <row r="70" spans="1:7" x14ac:dyDescent="0.25">
      <c r="A70" s="7">
        <v>69</v>
      </c>
      <c r="B70" s="3" t="str">
        <f>RECEIPT!B70</f>
        <v>RELAY BASE 8PIN</v>
      </c>
      <c r="C70" s="3" t="s">
        <v>7</v>
      </c>
      <c r="D70" s="3">
        <v>2</v>
      </c>
      <c r="E70" s="3">
        <f>RECEIPT!Q70</f>
        <v>0</v>
      </c>
      <c r="F70" s="3">
        <f>ISSUE!BC70</f>
        <v>0</v>
      </c>
      <c r="G70" s="3">
        <f t="shared" si="1"/>
        <v>2</v>
      </c>
    </row>
    <row r="71" spans="1:7" x14ac:dyDescent="0.25">
      <c r="A71" s="7">
        <v>70</v>
      </c>
      <c r="B71" s="3" t="str">
        <f>RECEIPT!B71</f>
        <v>RELAY BASE 14PIN</v>
      </c>
      <c r="C71" s="3" t="s">
        <v>7</v>
      </c>
      <c r="D71" s="3">
        <v>5</v>
      </c>
      <c r="E71" s="3">
        <f>RECEIPT!Q71</f>
        <v>0</v>
      </c>
      <c r="F71" s="3">
        <f>ISSUE!BC71</f>
        <v>0</v>
      </c>
      <c r="G71" s="3">
        <f t="shared" si="1"/>
        <v>5</v>
      </c>
    </row>
    <row r="72" spans="1:7" x14ac:dyDescent="0.25">
      <c r="A72" s="7">
        <v>71</v>
      </c>
      <c r="B72" s="3" t="str">
        <f>RECEIPT!B72</f>
        <v>RELAY BASE 11PIN</v>
      </c>
      <c r="C72" s="3" t="s">
        <v>7</v>
      </c>
      <c r="D72" s="3">
        <v>2</v>
      </c>
      <c r="E72" s="3">
        <f>RECEIPT!Q72</f>
        <v>0</v>
      </c>
      <c r="F72" s="3">
        <f>ISSUE!BC72</f>
        <v>0</v>
      </c>
      <c r="G72" s="3">
        <f t="shared" si="1"/>
        <v>2</v>
      </c>
    </row>
    <row r="73" spans="1:7" x14ac:dyDescent="0.25">
      <c r="A73" s="7">
        <v>72</v>
      </c>
      <c r="B73" s="3" t="str">
        <f>RECEIPT!B73</f>
        <v>RELAY 14PIN 220V</v>
      </c>
      <c r="C73" s="3" t="s">
        <v>7</v>
      </c>
      <c r="D73" s="3">
        <v>3</v>
      </c>
      <c r="E73" s="3">
        <f>RECEIPT!Q73</f>
        <v>0</v>
      </c>
      <c r="F73" s="3">
        <f>ISSUE!BC73</f>
        <v>0</v>
      </c>
      <c r="G73" s="3">
        <f t="shared" si="1"/>
        <v>3</v>
      </c>
    </row>
    <row r="74" spans="1:7" x14ac:dyDescent="0.25">
      <c r="A74" s="7">
        <v>73</v>
      </c>
      <c r="B74" s="3" t="str">
        <f>RECEIPT!B74</f>
        <v>RELAY 14PIN</v>
      </c>
      <c r="C74" s="3" t="s">
        <v>7</v>
      </c>
      <c r="D74" s="3">
        <v>1</v>
      </c>
      <c r="E74" s="3">
        <f>RECEIPT!Q74</f>
        <v>0</v>
      </c>
      <c r="F74" s="3">
        <f>ISSUE!BC74</f>
        <v>0</v>
      </c>
      <c r="G74" s="3">
        <f t="shared" si="1"/>
        <v>1</v>
      </c>
    </row>
    <row r="75" spans="1:7" x14ac:dyDescent="0.25">
      <c r="A75" s="7">
        <v>74</v>
      </c>
      <c r="B75" s="3" t="str">
        <f>RECEIPT!B75</f>
        <v>RELAY 11PIN</v>
      </c>
      <c r="C75" s="3" t="s">
        <v>7</v>
      </c>
      <c r="D75" s="3">
        <v>3</v>
      </c>
      <c r="E75" s="3">
        <f>RECEIPT!Q75</f>
        <v>0</v>
      </c>
      <c r="F75" s="3">
        <f>ISSUE!BC75</f>
        <v>0</v>
      </c>
      <c r="G75" s="3">
        <f t="shared" si="1"/>
        <v>3</v>
      </c>
    </row>
    <row r="76" spans="1:7" x14ac:dyDescent="0.25">
      <c r="A76" s="7">
        <v>75</v>
      </c>
      <c r="B76" s="3" t="str">
        <f>RECEIPT!B76</f>
        <v>PVC TAPE</v>
      </c>
      <c r="C76" s="3" t="s">
        <v>7</v>
      </c>
      <c r="D76" s="3">
        <v>25</v>
      </c>
      <c r="E76" s="3">
        <f>RECEIPT!Q76</f>
        <v>60</v>
      </c>
      <c r="F76" s="3">
        <f>ISSUE!BC76</f>
        <v>69</v>
      </c>
      <c r="G76" s="3">
        <f t="shared" si="1"/>
        <v>16</v>
      </c>
    </row>
    <row r="77" spans="1:7" x14ac:dyDescent="0.25">
      <c r="A77" s="7">
        <v>76</v>
      </c>
      <c r="B77" s="3" t="str">
        <f>RECEIPT!B77</f>
        <v>PUSH BUTTON</v>
      </c>
      <c r="C77" s="3" t="s">
        <v>7</v>
      </c>
      <c r="D77" s="3">
        <v>6</v>
      </c>
      <c r="E77" s="3">
        <f>RECEIPT!Q77</f>
        <v>0</v>
      </c>
      <c r="F77" s="3">
        <f>ISSUE!BC77</f>
        <v>0</v>
      </c>
      <c r="G77" s="3">
        <f t="shared" si="1"/>
        <v>6</v>
      </c>
    </row>
    <row r="78" spans="1:7" x14ac:dyDescent="0.25">
      <c r="A78" s="7">
        <v>77</v>
      </c>
      <c r="B78" s="3" t="str">
        <f>RECEIPT!B78</f>
        <v>PU PIPE FOR AIR GUN</v>
      </c>
      <c r="C78" s="3" t="s">
        <v>152</v>
      </c>
      <c r="D78" s="3">
        <v>3</v>
      </c>
      <c r="E78" s="3">
        <f>RECEIPT!Q78</f>
        <v>0</v>
      </c>
      <c r="F78" s="3">
        <f>ISSUE!BC78</f>
        <v>0</v>
      </c>
      <c r="G78" s="3">
        <f t="shared" si="1"/>
        <v>3</v>
      </c>
    </row>
    <row r="79" spans="1:7" x14ac:dyDescent="0.25">
      <c r="A79" s="7">
        <v>78</v>
      </c>
      <c r="B79" s="3" t="str">
        <f>RECEIPT!B79</f>
        <v>PU CONNECTOR 3/8" X 8</v>
      </c>
      <c r="C79" s="3" t="s">
        <v>7</v>
      </c>
      <c r="D79" s="3">
        <v>9</v>
      </c>
      <c r="E79" s="3">
        <f>RECEIPT!Q79</f>
        <v>0</v>
      </c>
      <c r="F79" s="3">
        <f>ISSUE!BC79</f>
        <v>1</v>
      </c>
      <c r="G79" s="3">
        <f t="shared" si="1"/>
        <v>8</v>
      </c>
    </row>
    <row r="80" spans="1:7" x14ac:dyDescent="0.25">
      <c r="A80" s="7">
        <v>79</v>
      </c>
      <c r="B80" s="3" t="str">
        <f>RECEIPT!B80</f>
        <v>PU CONNECTOR 3/8" X 16</v>
      </c>
      <c r="C80" s="3" t="s">
        <v>7</v>
      </c>
      <c r="D80" s="3">
        <v>1</v>
      </c>
      <c r="E80" s="3">
        <f>RECEIPT!Q80</f>
        <v>0</v>
      </c>
      <c r="F80" s="3">
        <f>ISSUE!BC80</f>
        <v>0</v>
      </c>
      <c r="G80" s="3">
        <f t="shared" si="1"/>
        <v>1</v>
      </c>
    </row>
    <row r="81" spans="1:7" x14ac:dyDescent="0.25">
      <c r="A81" s="7">
        <v>80</v>
      </c>
      <c r="B81" s="3" t="str">
        <f>RECEIPT!B81</f>
        <v>PU CONNECTOR 3/8" X 10</v>
      </c>
      <c r="C81" s="3" t="s">
        <v>7</v>
      </c>
      <c r="D81" s="3">
        <v>18</v>
      </c>
      <c r="E81" s="3">
        <f>RECEIPT!Q81</f>
        <v>0</v>
      </c>
      <c r="F81" s="3">
        <f>ISSUE!BC81</f>
        <v>0</v>
      </c>
      <c r="G81" s="3">
        <f t="shared" si="1"/>
        <v>18</v>
      </c>
    </row>
    <row r="82" spans="1:7" x14ac:dyDescent="0.25">
      <c r="A82" s="7">
        <v>81</v>
      </c>
      <c r="B82" s="3" t="str">
        <f>RECEIPT!B82</f>
        <v>PU CONNECTOR 1/8" X 8</v>
      </c>
      <c r="C82" s="3" t="s">
        <v>7</v>
      </c>
      <c r="D82" s="3">
        <v>9</v>
      </c>
      <c r="E82" s="3">
        <f>RECEIPT!Q82</f>
        <v>0</v>
      </c>
      <c r="F82" s="3">
        <f>ISSUE!BC82</f>
        <v>0</v>
      </c>
      <c r="G82" s="3">
        <f t="shared" si="1"/>
        <v>9</v>
      </c>
    </row>
    <row r="83" spans="1:7" x14ac:dyDescent="0.25">
      <c r="A83" s="7">
        <v>82</v>
      </c>
      <c r="B83" s="3" t="str">
        <f>RECEIPT!B83</f>
        <v>PU CONNECTOR 1/4" X 8</v>
      </c>
      <c r="C83" s="3" t="s">
        <v>7</v>
      </c>
      <c r="D83" s="3">
        <v>5</v>
      </c>
      <c r="E83" s="3">
        <f>RECEIPT!Q83</f>
        <v>0</v>
      </c>
      <c r="F83" s="3">
        <f>ISSUE!BC83</f>
        <v>1</v>
      </c>
      <c r="G83" s="3">
        <f t="shared" si="1"/>
        <v>4</v>
      </c>
    </row>
    <row r="84" spans="1:7" x14ac:dyDescent="0.25">
      <c r="A84" s="7">
        <v>83</v>
      </c>
      <c r="B84" s="3" t="str">
        <f>RECEIPT!B84</f>
        <v>PU CONNECTOR 1/4" X 12</v>
      </c>
      <c r="C84" s="3" t="s">
        <v>7</v>
      </c>
      <c r="D84" s="3">
        <v>4</v>
      </c>
      <c r="E84" s="3">
        <f>RECEIPT!Q84</f>
        <v>0</v>
      </c>
      <c r="F84" s="3">
        <f>ISSUE!BC83</f>
        <v>1</v>
      </c>
      <c r="G84" s="3">
        <f t="shared" si="1"/>
        <v>3</v>
      </c>
    </row>
    <row r="85" spans="1:7" x14ac:dyDescent="0.25">
      <c r="A85" s="7">
        <v>84</v>
      </c>
      <c r="B85" s="3" t="str">
        <f>RECEIPT!B85</f>
        <v>PU CONNECTOR 1/4" X 10</v>
      </c>
      <c r="C85" s="3" t="s">
        <v>7</v>
      </c>
      <c r="D85" s="3">
        <v>15</v>
      </c>
      <c r="E85" s="3">
        <f>RECEIPT!Q85</f>
        <v>0</v>
      </c>
      <c r="F85" s="3">
        <f>ISSUE!BC85</f>
        <v>0</v>
      </c>
      <c r="G85" s="3">
        <f t="shared" si="1"/>
        <v>15</v>
      </c>
    </row>
    <row r="86" spans="1:7" x14ac:dyDescent="0.25">
      <c r="A86" s="7">
        <v>85</v>
      </c>
      <c r="B86" s="3" t="str">
        <f>RECEIPT!B86</f>
        <v>PU CONNECTOR 1/2" X 12</v>
      </c>
      <c r="C86" s="3" t="s">
        <v>7</v>
      </c>
      <c r="D86" s="3">
        <v>10</v>
      </c>
      <c r="E86" s="3">
        <f>RECEIPT!Q86</f>
        <v>0</v>
      </c>
      <c r="F86" s="3">
        <f>ISSUE!BC86</f>
        <v>2</v>
      </c>
      <c r="G86" s="3">
        <f t="shared" si="1"/>
        <v>8</v>
      </c>
    </row>
    <row r="87" spans="1:7" x14ac:dyDescent="0.25">
      <c r="A87" s="7">
        <v>86</v>
      </c>
      <c r="B87" s="3" t="str">
        <f>RECEIPT!B87</f>
        <v>PU CONNECTOR 1/2" X 10</v>
      </c>
      <c r="C87" s="3" t="s">
        <v>7</v>
      </c>
      <c r="D87" s="3">
        <v>22</v>
      </c>
      <c r="E87" s="3">
        <f>RECEIPT!Q87</f>
        <v>0</v>
      </c>
      <c r="F87" s="3">
        <f>ISSUE!BC87</f>
        <v>0</v>
      </c>
      <c r="G87" s="3">
        <f t="shared" si="1"/>
        <v>22</v>
      </c>
    </row>
    <row r="88" spans="1:7" x14ac:dyDescent="0.25">
      <c r="A88" s="7">
        <v>87</v>
      </c>
      <c r="B88" s="3" t="str">
        <f>RECEIPT!B88</f>
        <v>MPCB 4-6.3 AMP</v>
      </c>
      <c r="C88" s="3" t="s">
        <v>7</v>
      </c>
      <c r="D88" s="3">
        <v>0</v>
      </c>
      <c r="E88" s="3">
        <f>RECEIPT!Q88</f>
        <v>2</v>
      </c>
      <c r="F88" s="3">
        <f>ISSUE!BC88</f>
        <v>0</v>
      </c>
      <c r="G88" s="3">
        <f t="shared" si="1"/>
        <v>2</v>
      </c>
    </row>
    <row r="89" spans="1:7" x14ac:dyDescent="0.25">
      <c r="A89" s="7">
        <v>88</v>
      </c>
      <c r="B89" s="3" t="str">
        <f>RECEIPT!B89</f>
        <v>POWER SUPPLY 24V</v>
      </c>
      <c r="C89" s="3" t="s">
        <v>7</v>
      </c>
      <c r="D89" s="3">
        <v>2</v>
      </c>
      <c r="E89" s="3">
        <f>RECEIPT!Q89</f>
        <v>0</v>
      </c>
      <c r="F89" s="3">
        <f>ISSUE!BC89</f>
        <v>0</v>
      </c>
      <c r="G89" s="3">
        <f t="shared" si="1"/>
        <v>2</v>
      </c>
    </row>
    <row r="90" spans="1:7" x14ac:dyDescent="0.25">
      <c r="A90" s="7">
        <v>89</v>
      </c>
      <c r="B90" s="3" t="str">
        <f>RECEIPT!B90</f>
        <v>POWER FACTOR CONTACTOR MOC 50KVA</v>
      </c>
      <c r="C90" s="3" t="s">
        <v>7</v>
      </c>
      <c r="D90" s="3">
        <v>2</v>
      </c>
      <c r="E90" s="3">
        <f>RECEIPT!Q90</f>
        <v>0</v>
      </c>
      <c r="F90" s="3">
        <f>ISSUE!BC90</f>
        <v>1</v>
      </c>
      <c r="G90" s="3">
        <f t="shared" si="1"/>
        <v>1</v>
      </c>
    </row>
    <row r="91" spans="1:7" x14ac:dyDescent="0.25">
      <c r="A91" s="7">
        <v>90</v>
      </c>
      <c r="B91" s="3" t="str">
        <f>RECEIPT!B91</f>
        <v>POWER FACTOR CONTACTOR MOC 25KVA</v>
      </c>
      <c r="C91" s="3" t="s">
        <v>7</v>
      </c>
      <c r="D91" s="3">
        <v>4</v>
      </c>
      <c r="E91" s="3">
        <f>RECEIPT!Q91</f>
        <v>0</v>
      </c>
      <c r="F91" s="3">
        <f>ISSUE!BC91</f>
        <v>0</v>
      </c>
      <c r="G91" s="3">
        <f t="shared" si="1"/>
        <v>4</v>
      </c>
    </row>
    <row r="92" spans="1:7" x14ac:dyDescent="0.25">
      <c r="A92" s="7">
        <v>91</v>
      </c>
      <c r="B92" s="3" t="str">
        <f>RECEIPT!B92</f>
        <v>POWER FACTOR CAPACITOR 25KVA</v>
      </c>
      <c r="C92" s="3" t="s">
        <v>7</v>
      </c>
      <c r="D92" s="3">
        <v>2</v>
      </c>
      <c r="E92" s="3">
        <f>RECEIPT!Q92</f>
        <v>0</v>
      </c>
      <c r="F92" s="3">
        <f>ISSUE!BC92</f>
        <v>0</v>
      </c>
      <c r="G92" s="3">
        <f t="shared" si="1"/>
        <v>2</v>
      </c>
    </row>
    <row r="93" spans="1:7" x14ac:dyDescent="0.25">
      <c r="A93" s="7">
        <v>92</v>
      </c>
      <c r="B93" s="3" t="str">
        <f>RECEIPT!B93</f>
        <v>POWER FACTOR CAPACITOR 25 KVAR</v>
      </c>
      <c r="C93" s="3" t="s">
        <v>7</v>
      </c>
      <c r="D93" s="3">
        <v>1</v>
      </c>
      <c r="E93" s="3">
        <f>RECEIPT!Q93</f>
        <v>0</v>
      </c>
      <c r="F93" s="3">
        <f>ISSUE!BC93</f>
        <v>0</v>
      </c>
      <c r="G93" s="3">
        <f t="shared" si="1"/>
        <v>1</v>
      </c>
    </row>
    <row r="94" spans="1:7" x14ac:dyDescent="0.25">
      <c r="A94" s="7">
        <v>93</v>
      </c>
      <c r="B94" s="3" t="str">
        <f>RECEIPT!B94</f>
        <v>POWER FACTOR CAPACITOR 20 KVAR</v>
      </c>
      <c r="C94" s="3" t="s">
        <v>7</v>
      </c>
      <c r="D94" s="3">
        <v>1</v>
      </c>
      <c r="E94" s="3">
        <f>RECEIPT!Q94</f>
        <v>0</v>
      </c>
      <c r="F94" s="3">
        <f>ISSUE!BC94</f>
        <v>0</v>
      </c>
      <c r="G94" s="3">
        <f t="shared" si="1"/>
        <v>1</v>
      </c>
    </row>
    <row r="95" spans="1:7" x14ac:dyDescent="0.25">
      <c r="A95" s="7">
        <v>94</v>
      </c>
      <c r="B95" s="3" t="str">
        <f>RECEIPT!B95</f>
        <v>POWER FACTOR CAPACITOR 10KVA</v>
      </c>
      <c r="C95" s="3" t="s">
        <v>7</v>
      </c>
      <c r="D95" s="3">
        <v>1</v>
      </c>
      <c r="E95" s="3">
        <f>RECEIPT!Q95</f>
        <v>0</v>
      </c>
      <c r="F95" s="3">
        <f>ISSUE!BC95</f>
        <v>0</v>
      </c>
      <c r="G95" s="3">
        <f t="shared" si="1"/>
        <v>1</v>
      </c>
    </row>
    <row r="96" spans="1:7" x14ac:dyDescent="0.25">
      <c r="A96" s="7">
        <v>95</v>
      </c>
      <c r="B96" s="3" t="str">
        <f>RECEIPT!B96</f>
        <v>POTENTIO METER B202K</v>
      </c>
      <c r="C96" s="3" t="s">
        <v>151</v>
      </c>
      <c r="D96" s="3">
        <v>4</v>
      </c>
      <c r="E96" s="3">
        <f>RECEIPT!Q96</f>
        <v>0</v>
      </c>
      <c r="F96" s="3">
        <f>ISSUE!BC96</f>
        <v>0</v>
      </c>
      <c r="G96" s="3">
        <f t="shared" si="1"/>
        <v>4</v>
      </c>
    </row>
    <row r="97" spans="1:7" x14ac:dyDescent="0.25">
      <c r="A97" s="7">
        <v>96</v>
      </c>
      <c r="B97" s="3" t="str">
        <f>RECEIPT!B97</f>
        <v>POTENTIO METER 5K</v>
      </c>
      <c r="C97" s="3" t="s">
        <v>152</v>
      </c>
      <c r="D97" s="3">
        <v>3</v>
      </c>
      <c r="E97" s="3">
        <f>RECEIPT!Q97</f>
        <v>2</v>
      </c>
      <c r="F97" s="3">
        <f>ISSUE!BC97</f>
        <v>0</v>
      </c>
      <c r="G97" s="3">
        <f t="shared" si="1"/>
        <v>5</v>
      </c>
    </row>
    <row r="98" spans="1:7" x14ac:dyDescent="0.25">
      <c r="A98" s="7">
        <v>97</v>
      </c>
      <c r="B98" s="3" t="str">
        <f>RECEIPT!B98</f>
        <v>POTENTIO METER 2K</v>
      </c>
      <c r="C98" s="3" t="s">
        <v>7</v>
      </c>
      <c r="D98" s="3">
        <v>10</v>
      </c>
      <c r="E98" s="3">
        <f>RECEIPT!Q98</f>
        <v>0</v>
      </c>
      <c r="F98" s="3">
        <f>ISSUE!BC98</f>
        <v>0</v>
      </c>
      <c r="G98" s="3">
        <f t="shared" si="1"/>
        <v>10</v>
      </c>
    </row>
    <row r="99" spans="1:7" x14ac:dyDescent="0.25">
      <c r="A99" s="7">
        <v>98</v>
      </c>
      <c r="B99" s="3" t="str">
        <f>RECEIPT!B99</f>
        <v>POTENTIO METER 250K</v>
      </c>
      <c r="C99" s="3" t="s">
        <v>7</v>
      </c>
      <c r="D99" s="3">
        <v>6</v>
      </c>
      <c r="E99" s="3">
        <f>RECEIPT!Q99</f>
        <v>0</v>
      </c>
      <c r="F99" s="3">
        <f>ISSUE!BC99</f>
        <v>0</v>
      </c>
      <c r="G99" s="3">
        <f t="shared" si="1"/>
        <v>6</v>
      </c>
    </row>
    <row r="100" spans="1:7" x14ac:dyDescent="0.25">
      <c r="A100" s="7">
        <v>99</v>
      </c>
      <c r="B100" s="3" t="str">
        <f>RECEIPT!B100</f>
        <v>POTENTIO METER 1K</v>
      </c>
      <c r="C100" s="3" t="s">
        <v>7</v>
      </c>
      <c r="D100" s="3" t="s">
        <v>399</v>
      </c>
      <c r="E100" s="3">
        <f>RECEIPT!Q100</f>
        <v>0</v>
      </c>
      <c r="F100" s="3">
        <f>ISSUE!BC100</f>
        <v>1</v>
      </c>
      <c r="G100" s="3" t="e">
        <f t="shared" si="1"/>
        <v>#VALUE!</v>
      </c>
    </row>
    <row r="101" spans="1:7" x14ac:dyDescent="0.25">
      <c r="A101" s="7">
        <v>100</v>
      </c>
      <c r="B101" s="3" t="str">
        <f>RECEIPT!B101</f>
        <v>POTENTIO METER 10K</v>
      </c>
      <c r="C101" s="3" t="s">
        <v>7</v>
      </c>
      <c r="D101" s="3">
        <v>10</v>
      </c>
      <c r="E101" s="3">
        <f>RECEIPT!Q101</f>
        <v>2</v>
      </c>
      <c r="F101" s="3">
        <f>ISSUE!BC101</f>
        <v>0</v>
      </c>
      <c r="G101" s="3">
        <f t="shared" si="1"/>
        <v>12</v>
      </c>
    </row>
    <row r="102" spans="1:7" x14ac:dyDescent="0.25">
      <c r="A102" s="7">
        <v>101</v>
      </c>
      <c r="B102" s="3" t="str">
        <f>RECEIPT!B102</f>
        <v>POTENTIO METER 100K</v>
      </c>
      <c r="C102" s="3" t="s">
        <v>7</v>
      </c>
      <c r="D102" s="3">
        <v>5</v>
      </c>
      <c r="E102" s="3">
        <f>RECEIPT!Q102</f>
        <v>0</v>
      </c>
      <c r="F102" s="3">
        <f>ISSUE!BC102</f>
        <v>0</v>
      </c>
      <c r="G102" s="3">
        <f t="shared" si="1"/>
        <v>5</v>
      </c>
    </row>
    <row r="103" spans="1:7" x14ac:dyDescent="0.25">
      <c r="A103" s="7">
        <v>102</v>
      </c>
      <c r="B103" s="3" t="str">
        <f>RECEIPT!B103</f>
        <v>PNEUMATIC CYLINDER 80X160</v>
      </c>
      <c r="C103" s="3" t="s">
        <v>7</v>
      </c>
      <c r="D103" s="3">
        <v>2</v>
      </c>
      <c r="E103" s="3">
        <f>RECEIPT!Q103</f>
        <v>0</v>
      </c>
      <c r="F103" s="3">
        <f>ISSUE!BC103</f>
        <v>0</v>
      </c>
      <c r="G103" s="3">
        <f t="shared" si="1"/>
        <v>2</v>
      </c>
    </row>
    <row r="104" spans="1:7" x14ac:dyDescent="0.25">
      <c r="A104" s="7">
        <v>103</v>
      </c>
      <c r="B104" s="3" t="str">
        <f>RECEIPT!B104</f>
        <v>PNEUMATIC CYLINDER 63X50</v>
      </c>
      <c r="C104" s="3" t="s">
        <v>7</v>
      </c>
      <c r="D104" s="3">
        <v>1</v>
      </c>
      <c r="E104" s="3">
        <f>RECEIPT!Q104</f>
        <v>0</v>
      </c>
      <c r="F104" s="3">
        <f>ISSUE!BC104</f>
        <v>0</v>
      </c>
      <c r="G104" s="3">
        <f t="shared" si="1"/>
        <v>1</v>
      </c>
    </row>
    <row r="105" spans="1:7" x14ac:dyDescent="0.25">
      <c r="A105" s="7">
        <v>104</v>
      </c>
      <c r="B105" s="3" t="str">
        <f>RECEIPT!B105</f>
        <v>PLASTIC TAP</v>
      </c>
      <c r="C105" s="3" t="s">
        <v>7</v>
      </c>
      <c r="D105" s="3">
        <v>5</v>
      </c>
      <c r="E105" s="3">
        <f>RECEIPT!Q105</f>
        <v>2</v>
      </c>
      <c r="F105" s="3">
        <f>ISSUE!BC105</f>
        <v>1</v>
      </c>
      <c r="G105" s="3">
        <f t="shared" si="1"/>
        <v>6</v>
      </c>
    </row>
    <row r="106" spans="1:7" x14ac:dyDescent="0.25">
      <c r="A106" s="7">
        <v>105</v>
      </c>
      <c r="B106" s="3" t="str">
        <f>RECEIPT!B106</f>
        <v>PIPE THIMBLE 5MM</v>
      </c>
      <c r="C106" s="3" t="s">
        <v>7</v>
      </c>
      <c r="D106" s="3">
        <v>73</v>
      </c>
      <c r="E106" s="3">
        <f>RECEIPT!Q106</f>
        <v>0</v>
      </c>
      <c r="F106" s="3">
        <f>ISSUE!BC106</f>
        <v>0</v>
      </c>
      <c r="G106" s="3">
        <f t="shared" si="1"/>
        <v>73</v>
      </c>
    </row>
    <row r="107" spans="1:7" x14ac:dyDescent="0.25">
      <c r="A107" s="7">
        <v>106</v>
      </c>
      <c r="B107" s="3" t="str">
        <f>RECEIPT!B107</f>
        <v>PIPE THIMBLE 1.5MM</v>
      </c>
      <c r="C107" s="3" t="s">
        <v>7</v>
      </c>
      <c r="D107" s="3">
        <v>200</v>
      </c>
      <c r="E107" s="3">
        <f>RECEIPT!Q107</f>
        <v>0</v>
      </c>
      <c r="F107" s="3">
        <f>ISSUE!BC107</f>
        <v>0</v>
      </c>
      <c r="G107" s="3">
        <f t="shared" si="1"/>
        <v>200</v>
      </c>
    </row>
    <row r="108" spans="1:7" x14ac:dyDescent="0.25">
      <c r="A108" s="7">
        <v>107</v>
      </c>
      <c r="B108" s="3" t="str">
        <f>RECEIPT!B108</f>
        <v>PIPE M/C GLASS HEATER 500W/230V P</v>
      </c>
      <c r="C108" s="3" t="s">
        <v>7</v>
      </c>
      <c r="D108" s="3">
        <v>23</v>
      </c>
      <c r="E108" s="3">
        <f>RECEIPT!Q108</f>
        <v>0</v>
      </c>
      <c r="F108" s="3">
        <f>ISSUE!BC108</f>
        <v>1</v>
      </c>
      <c r="G108" s="3">
        <f t="shared" si="1"/>
        <v>22</v>
      </c>
    </row>
    <row r="109" spans="1:7" x14ac:dyDescent="0.25">
      <c r="A109" s="7">
        <v>108</v>
      </c>
      <c r="B109" s="3" t="str">
        <f>RECEIPT!B109</f>
        <v>PIPE M/C GLASS HEATER 500W/230V GI</v>
      </c>
      <c r="C109" s="3" t="s">
        <v>7</v>
      </c>
      <c r="D109" s="3">
        <v>14</v>
      </c>
      <c r="E109" s="3">
        <f>RECEIPT!Q109</f>
        <v>0</v>
      </c>
      <c r="F109" s="3">
        <f>ISSUE!BC109</f>
        <v>1</v>
      </c>
      <c r="G109" s="3">
        <f t="shared" si="1"/>
        <v>13</v>
      </c>
    </row>
    <row r="110" spans="1:7" x14ac:dyDescent="0.25">
      <c r="A110" s="7">
        <v>109</v>
      </c>
      <c r="B110" s="3" t="str">
        <f>RECEIPT!B110</f>
        <v>PIPE M/C GLASS HEATER 500W/230V D</v>
      </c>
      <c r="C110" s="3" t="s">
        <v>7</v>
      </c>
      <c r="D110" s="3">
        <v>3</v>
      </c>
      <c r="E110" s="3">
        <f>RECEIPT!Q110</f>
        <v>0</v>
      </c>
      <c r="F110" s="3">
        <f>ISSUE!BC110</f>
        <v>0</v>
      </c>
      <c r="G110" s="3">
        <f t="shared" si="1"/>
        <v>3</v>
      </c>
    </row>
    <row r="111" spans="1:7" x14ac:dyDescent="0.25">
      <c r="A111" s="7">
        <v>110</v>
      </c>
      <c r="B111" s="3" t="str">
        <f>RECEIPT!B111</f>
        <v>PHOTO SENSOR SET</v>
      </c>
      <c r="C111" s="3" t="s">
        <v>7</v>
      </c>
      <c r="D111" s="3">
        <v>1</v>
      </c>
      <c r="E111" s="3">
        <f>RECEIPT!Q111</f>
        <v>0</v>
      </c>
      <c r="F111" s="3">
        <f>ISSUE!BC111</f>
        <v>0</v>
      </c>
      <c r="G111" s="3">
        <f t="shared" si="1"/>
        <v>1</v>
      </c>
    </row>
    <row r="112" spans="1:7" x14ac:dyDescent="0.25">
      <c r="A112" s="7">
        <v>111</v>
      </c>
      <c r="B112" s="3" t="str">
        <f>RECEIPT!B112</f>
        <v>PHOTO SENSOR GTB-6 - P 1212</v>
      </c>
      <c r="C112" s="3" t="s">
        <v>7</v>
      </c>
      <c r="D112" s="3">
        <v>5</v>
      </c>
      <c r="E112" s="3">
        <f>RECEIPT!Q112</f>
        <v>0</v>
      </c>
      <c r="F112" s="3">
        <f>ISSUE!BC112</f>
        <v>1</v>
      </c>
      <c r="G112" s="3">
        <f t="shared" si="1"/>
        <v>4</v>
      </c>
    </row>
    <row r="113" spans="1:7" x14ac:dyDescent="0.25">
      <c r="A113" s="7">
        <v>112</v>
      </c>
      <c r="B113" s="3" t="str">
        <f>RECEIPT!B113</f>
        <v>PHOTO SENSOR GTB-6 - N 1212</v>
      </c>
      <c r="C113" s="3" t="s">
        <v>7</v>
      </c>
      <c r="D113" s="3">
        <v>0</v>
      </c>
      <c r="E113" s="3">
        <f>RECEIPT!Q113</f>
        <v>2</v>
      </c>
      <c r="F113" s="3">
        <f>ISSUE!BC113</f>
        <v>0</v>
      </c>
      <c r="G113" s="3">
        <f t="shared" si="1"/>
        <v>2</v>
      </c>
    </row>
    <row r="114" spans="1:7" x14ac:dyDescent="0.25">
      <c r="A114" s="7">
        <v>113</v>
      </c>
      <c r="B114" s="3" t="str">
        <f>RECEIPT!B114</f>
        <v>PHOTO SENSOR GC-E3Z-D81</v>
      </c>
      <c r="C114" s="3" t="s">
        <v>7</v>
      </c>
      <c r="D114" s="3">
        <v>0</v>
      </c>
      <c r="E114" s="3">
        <f>RECEIPT!Q114</f>
        <v>0</v>
      </c>
      <c r="F114" s="3">
        <f>ISSUE!BC114</f>
        <v>0</v>
      </c>
      <c r="G114" s="3">
        <f t="shared" si="1"/>
        <v>0</v>
      </c>
    </row>
    <row r="115" spans="1:7" x14ac:dyDescent="0.25">
      <c r="A115" s="7">
        <v>114</v>
      </c>
      <c r="B115" s="3" t="str">
        <f>RECEIPT!B115</f>
        <v>PHOTO SENSOR GC-E3Z-D61</v>
      </c>
      <c r="C115" s="3" t="s">
        <v>7</v>
      </c>
      <c r="D115" s="3">
        <v>2</v>
      </c>
      <c r="E115" s="3">
        <f>RECEIPT!Q115</f>
        <v>0</v>
      </c>
      <c r="F115" s="3">
        <f>ISSUE!BC115</f>
        <v>0</v>
      </c>
      <c r="G115" s="3">
        <f t="shared" si="1"/>
        <v>2</v>
      </c>
    </row>
    <row r="116" spans="1:7" x14ac:dyDescent="0.25">
      <c r="A116" s="7">
        <v>115</v>
      </c>
      <c r="B116" s="3" t="str">
        <f>RECEIPT!B116</f>
        <v>PHOTO SENSOR BX5M-MFR</v>
      </c>
      <c r="C116" s="3" t="s">
        <v>7</v>
      </c>
      <c r="D116" s="3">
        <v>2</v>
      </c>
      <c r="E116" s="3">
        <f>RECEIPT!Q116</f>
        <v>0</v>
      </c>
      <c r="F116" s="3">
        <f>ISSUE!BC116</f>
        <v>0</v>
      </c>
      <c r="G116" s="3">
        <f t="shared" si="1"/>
        <v>2</v>
      </c>
    </row>
    <row r="117" spans="1:7" x14ac:dyDescent="0.25">
      <c r="A117" s="7">
        <v>116</v>
      </c>
      <c r="B117" s="3" t="str">
        <f>RECEIPT!B117</f>
        <v>PHASE SEQUENCER S1VMR7</v>
      </c>
      <c r="C117" s="3" t="s">
        <v>7</v>
      </c>
      <c r="D117" s="3">
        <v>2</v>
      </c>
      <c r="E117" s="3">
        <f>RECEIPT!Q117</f>
        <v>0</v>
      </c>
      <c r="F117" s="3">
        <f>ISSUE!BC117</f>
        <v>0</v>
      </c>
      <c r="G117" s="3">
        <f t="shared" si="1"/>
        <v>2</v>
      </c>
    </row>
    <row r="118" spans="1:7" x14ac:dyDescent="0.25">
      <c r="A118" s="7">
        <v>117</v>
      </c>
      <c r="B118" s="3" t="str">
        <f>RECEIPT!B118</f>
        <v>PANEL RELAY 24V</v>
      </c>
      <c r="C118" s="3" t="s">
        <v>7</v>
      </c>
      <c r="D118" s="3">
        <v>1</v>
      </c>
      <c r="E118" s="3">
        <f>RECEIPT!Q118</f>
        <v>0</v>
      </c>
      <c r="F118" s="3">
        <f>ISSUE!BC118</f>
        <v>0</v>
      </c>
      <c r="G118" s="3">
        <f t="shared" si="1"/>
        <v>1</v>
      </c>
    </row>
    <row r="119" spans="1:7" x14ac:dyDescent="0.25">
      <c r="A119" s="7">
        <v>118</v>
      </c>
      <c r="B119" s="3" t="str">
        <f>RECEIPT!B119</f>
        <v>PANEL LOCK</v>
      </c>
      <c r="C119" s="3" t="s">
        <v>7</v>
      </c>
      <c r="D119" s="3">
        <v>10</v>
      </c>
      <c r="E119" s="3">
        <f>RECEIPT!Q119</f>
        <v>0</v>
      </c>
      <c r="F119" s="3">
        <f>ISSUE!BC119</f>
        <v>0</v>
      </c>
      <c r="G119" s="3">
        <f t="shared" si="1"/>
        <v>10</v>
      </c>
    </row>
    <row r="120" spans="1:7" x14ac:dyDescent="0.25">
      <c r="A120" s="7">
        <v>119</v>
      </c>
      <c r="B120" s="3" t="str">
        <f>RECEIPT!B120</f>
        <v>PANEL INDICATOR</v>
      </c>
      <c r="C120" s="3" t="s">
        <v>7</v>
      </c>
      <c r="D120" s="3">
        <v>8</v>
      </c>
      <c r="E120" s="3">
        <f>RECEIPT!Q120</f>
        <v>0</v>
      </c>
      <c r="F120" s="3">
        <f>ISSUE!BC120</f>
        <v>0</v>
      </c>
      <c r="G120" s="3">
        <f t="shared" si="1"/>
        <v>8</v>
      </c>
    </row>
    <row r="121" spans="1:7" x14ac:dyDescent="0.25">
      <c r="A121" s="7">
        <v>120</v>
      </c>
      <c r="B121" s="3" t="str">
        <f>RECEIPT!B121</f>
        <v>PANEL FAN 8"</v>
      </c>
      <c r="C121" s="3" t="s">
        <v>7</v>
      </c>
      <c r="D121" s="3">
        <v>6</v>
      </c>
      <c r="E121" s="3">
        <f>RECEIPT!Q121</f>
        <v>0</v>
      </c>
      <c r="F121" s="3">
        <f>ISSUE!BC121</f>
        <v>1</v>
      </c>
      <c r="G121" s="3">
        <f t="shared" si="1"/>
        <v>5</v>
      </c>
    </row>
    <row r="122" spans="1:7" x14ac:dyDescent="0.25">
      <c r="A122" s="7">
        <v>121</v>
      </c>
      <c r="B122" s="3" t="str">
        <f>RECEIPT!B122</f>
        <v>PANEL FAN 6"</v>
      </c>
      <c r="C122" s="3" t="s">
        <v>7</v>
      </c>
      <c r="D122" s="3">
        <v>2</v>
      </c>
      <c r="E122" s="3">
        <f>RECEIPT!Q122</f>
        <v>0</v>
      </c>
      <c r="F122" s="3">
        <f>ISSUE!BC122</f>
        <v>0</v>
      </c>
      <c r="G122" s="3">
        <f t="shared" si="1"/>
        <v>2</v>
      </c>
    </row>
    <row r="123" spans="1:7" x14ac:dyDescent="0.25">
      <c r="A123" s="7">
        <v>122</v>
      </c>
      <c r="B123" s="3" t="str">
        <f>RECEIPT!B123</f>
        <v>PANEL FAN 4"</v>
      </c>
      <c r="C123" s="3" t="s">
        <v>7</v>
      </c>
      <c r="D123" s="3">
        <v>2</v>
      </c>
      <c r="E123" s="3">
        <f>RECEIPT!Q123</f>
        <v>0</v>
      </c>
      <c r="F123" s="3">
        <f>ISSUE!BC123</f>
        <v>1</v>
      </c>
      <c r="G123" s="3">
        <f t="shared" si="1"/>
        <v>1</v>
      </c>
    </row>
    <row r="124" spans="1:7" x14ac:dyDescent="0.25">
      <c r="A124" s="7">
        <v>123</v>
      </c>
      <c r="B124" s="3" t="str">
        <f>RECEIPT!B124</f>
        <v>OVER LAOD RELAY 7-10</v>
      </c>
      <c r="C124" s="3" t="s">
        <v>7</v>
      </c>
      <c r="D124" s="3">
        <v>1</v>
      </c>
      <c r="E124" s="3">
        <f>RECEIPT!Q124</f>
        <v>0</v>
      </c>
      <c r="F124" s="3">
        <f>ISSUE!BC124</f>
        <v>0</v>
      </c>
      <c r="G124" s="3">
        <f t="shared" si="1"/>
        <v>1</v>
      </c>
    </row>
    <row r="125" spans="1:7" x14ac:dyDescent="0.25">
      <c r="A125" s="7">
        <v>124</v>
      </c>
      <c r="B125" s="3" t="str">
        <f>RECEIPT!B125</f>
        <v>OVER LAOD RELAY 6-10</v>
      </c>
      <c r="C125" s="3" t="s">
        <v>7</v>
      </c>
      <c r="D125" s="3">
        <v>1</v>
      </c>
      <c r="E125" s="3">
        <f>RECEIPT!Q125</f>
        <v>0</v>
      </c>
      <c r="F125" s="3">
        <f>ISSUE!BC125</f>
        <v>0</v>
      </c>
      <c r="G125" s="3">
        <f t="shared" si="1"/>
        <v>1</v>
      </c>
    </row>
    <row r="126" spans="1:7" x14ac:dyDescent="0.25">
      <c r="A126" s="7">
        <v>125</v>
      </c>
      <c r="B126" s="3" t="str">
        <f>RECEIPT!B126</f>
        <v>OVER LAOD RELAY 24.5-36</v>
      </c>
      <c r="C126" s="3" t="s">
        <v>7</v>
      </c>
      <c r="D126" s="3">
        <v>1</v>
      </c>
      <c r="E126" s="3">
        <f>RECEIPT!Q126</f>
        <v>0</v>
      </c>
      <c r="F126" s="3">
        <f>ISSUE!BC126</f>
        <v>0</v>
      </c>
      <c r="G126" s="3">
        <f t="shared" si="1"/>
        <v>1</v>
      </c>
    </row>
    <row r="127" spans="1:7" x14ac:dyDescent="0.25">
      <c r="A127" s="7">
        <v>126</v>
      </c>
      <c r="B127" s="3" t="str">
        <f>RECEIPT!B127</f>
        <v>OVER LAOD RELAY 12-18</v>
      </c>
      <c r="C127" s="3" t="s">
        <v>7</v>
      </c>
      <c r="D127" s="3">
        <v>1</v>
      </c>
      <c r="E127" s="3">
        <f>RECEIPT!Q127</f>
        <v>0</v>
      </c>
      <c r="F127" s="3">
        <f>ISSUE!BC127</f>
        <v>0</v>
      </c>
      <c r="G127" s="3">
        <f t="shared" si="1"/>
        <v>1</v>
      </c>
    </row>
    <row r="128" spans="1:7" x14ac:dyDescent="0.25">
      <c r="A128" s="7">
        <v>127</v>
      </c>
      <c r="B128" s="3" t="str">
        <f>RECEIPT!B128</f>
        <v>OVER LAOD RELAY 1.6-2.5</v>
      </c>
      <c r="C128" s="3" t="s">
        <v>7</v>
      </c>
      <c r="D128" s="3">
        <v>1</v>
      </c>
      <c r="E128" s="3">
        <f>RECEIPT!Q128</f>
        <v>0</v>
      </c>
      <c r="F128" s="3">
        <f>ISSUE!BC128</f>
        <v>0</v>
      </c>
      <c r="G128" s="3">
        <f t="shared" si="1"/>
        <v>1</v>
      </c>
    </row>
    <row r="129" spans="1:7" x14ac:dyDescent="0.25">
      <c r="A129" s="7">
        <v>128</v>
      </c>
      <c r="B129" s="3" t="str">
        <f>RECEIPT!B129</f>
        <v>OVEN PHOTO SENSOR UVI  18210060</v>
      </c>
      <c r="C129" s="3" t="s">
        <v>7</v>
      </c>
      <c r="D129" s="3">
        <v>10</v>
      </c>
      <c r="E129" s="3">
        <f>RECEIPT!Q129</f>
        <v>0</v>
      </c>
      <c r="F129" s="3">
        <f>ISSUE!BC129</f>
        <v>1</v>
      </c>
      <c r="G129" s="3">
        <f t="shared" si="1"/>
        <v>9</v>
      </c>
    </row>
    <row r="130" spans="1:7" x14ac:dyDescent="0.25">
      <c r="A130" s="7">
        <v>129</v>
      </c>
      <c r="B130" s="3">
        <f>RECEIPT!B130</f>
        <v>0</v>
      </c>
      <c r="C130" s="3" t="s">
        <v>7</v>
      </c>
      <c r="D130" s="3">
        <v>0</v>
      </c>
      <c r="E130" s="3">
        <f>RECEIPT!Q130</f>
        <v>0</v>
      </c>
      <c r="F130" s="3">
        <f>ISSUE!BC130</f>
        <v>0</v>
      </c>
      <c r="G130" s="3">
        <f t="shared" si="1"/>
        <v>0</v>
      </c>
    </row>
    <row r="131" spans="1:7" x14ac:dyDescent="0.25">
      <c r="A131" s="7">
        <v>130</v>
      </c>
      <c r="B131" s="3" t="str">
        <f>RECEIPT!B131</f>
        <v>OIL HEATER</v>
      </c>
      <c r="C131" s="3" t="s">
        <v>7</v>
      </c>
      <c r="D131" s="3">
        <v>4</v>
      </c>
      <c r="E131" s="3">
        <f>RECEIPT!Q131</f>
        <v>0</v>
      </c>
      <c r="F131" s="3">
        <f>ISSUE!BC131</f>
        <v>1</v>
      </c>
      <c r="G131" s="3">
        <f t="shared" ref="G131:G194" si="2">+D131+E131-F131</f>
        <v>3</v>
      </c>
    </row>
    <row r="132" spans="1:7" x14ac:dyDescent="0.25">
      <c r="A132" s="7">
        <v>131</v>
      </c>
      <c r="B132" s="3">
        <f>RECEIPT!B132</f>
        <v>0</v>
      </c>
      <c r="C132" s="3" t="s">
        <v>7</v>
      </c>
      <c r="D132" s="3">
        <v>0</v>
      </c>
      <c r="E132" s="3">
        <f>RECEIPT!Q132</f>
        <v>0</v>
      </c>
      <c r="F132" s="3">
        <f>ISSUE!BC132</f>
        <v>0</v>
      </c>
      <c r="G132" s="3">
        <f t="shared" si="2"/>
        <v>0</v>
      </c>
    </row>
    <row r="133" spans="1:7" x14ac:dyDescent="0.25">
      <c r="A133" s="7">
        <v>132</v>
      </c>
      <c r="B133" s="3" t="str">
        <f>RECEIPT!B133</f>
        <v>OIL FILTER 1.5"</v>
      </c>
      <c r="C133" s="3" t="s">
        <v>7</v>
      </c>
      <c r="D133" s="3">
        <v>1</v>
      </c>
      <c r="E133" s="3">
        <f>RECEIPT!Q133</f>
        <v>0</v>
      </c>
      <c r="F133" s="3">
        <f>ISSUE!BC133</f>
        <v>0</v>
      </c>
      <c r="G133" s="3">
        <f t="shared" si="2"/>
        <v>1</v>
      </c>
    </row>
    <row r="134" spans="1:7" x14ac:dyDescent="0.25">
      <c r="A134" s="7">
        <v>133</v>
      </c>
      <c r="B134" s="3" t="str">
        <f>RECEIPT!B134</f>
        <v>NO SWITCH GREEN</v>
      </c>
      <c r="C134" s="3" t="s">
        <v>7</v>
      </c>
      <c r="D134" s="3">
        <v>38</v>
      </c>
      <c r="E134" s="3">
        <f>RECEIPT!Q134</f>
        <v>0</v>
      </c>
      <c r="F134" s="3">
        <f>ISSUE!BC134</f>
        <v>2</v>
      </c>
      <c r="G134" s="3">
        <f t="shared" si="2"/>
        <v>36</v>
      </c>
    </row>
    <row r="135" spans="1:7" x14ac:dyDescent="0.25">
      <c r="A135" s="7">
        <v>134</v>
      </c>
      <c r="B135" s="3" t="str">
        <f>RECEIPT!B135</f>
        <v>NC SWITCH RED</v>
      </c>
      <c r="C135" s="3" t="s">
        <v>7</v>
      </c>
      <c r="D135" s="3">
        <v>49</v>
      </c>
      <c r="E135" s="3">
        <f>RECEIPT!Q135</f>
        <v>0</v>
      </c>
      <c r="F135" s="3">
        <f>ISSUE!BC135</f>
        <v>0</v>
      </c>
      <c r="G135" s="3">
        <f t="shared" si="2"/>
        <v>49</v>
      </c>
    </row>
    <row r="136" spans="1:7" x14ac:dyDescent="0.25">
      <c r="A136" s="7">
        <v>135</v>
      </c>
      <c r="B136" s="3" t="str">
        <f>RECEIPT!B136</f>
        <v>MS REDUCING BUSH 1" X 1/2"</v>
      </c>
      <c r="C136" s="3" t="s">
        <v>7</v>
      </c>
      <c r="D136" s="3">
        <v>0</v>
      </c>
      <c r="E136" s="3">
        <f>RECEIPT!Q136</f>
        <v>10</v>
      </c>
      <c r="F136" s="3">
        <f>ISSUE!BC136</f>
        <v>2</v>
      </c>
      <c r="G136" s="3">
        <f t="shared" si="2"/>
        <v>8</v>
      </c>
    </row>
    <row r="137" spans="1:7" x14ac:dyDescent="0.25">
      <c r="A137" s="7">
        <v>136</v>
      </c>
      <c r="B137" s="3" t="str">
        <f>RECEIPT!B137</f>
        <v>MPCB 9-14 SCHNIDER</v>
      </c>
      <c r="C137" s="3" t="s">
        <v>7</v>
      </c>
      <c r="D137" s="3">
        <v>0</v>
      </c>
      <c r="E137" s="3">
        <f>RECEIPT!Q137</f>
        <v>1</v>
      </c>
      <c r="F137" s="3">
        <f>ISSUE!BC137</f>
        <v>1</v>
      </c>
      <c r="G137" s="3">
        <f t="shared" si="2"/>
        <v>0</v>
      </c>
    </row>
    <row r="138" spans="1:7" x14ac:dyDescent="0.25">
      <c r="A138" s="7">
        <v>137</v>
      </c>
      <c r="B138" s="3" t="str">
        <f>RECEIPT!B138</f>
        <v>MPCB 6-10</v>
      </c>
      <c r="C138" s="3" t="s">
        <v>7</v>
      </c>
      <c r="D138" s="3">
        <v>1</v>
      </c>
      <c r="E138" s="3">
        <f>RECEIPT!Q138</f>
        <v>4</v>
      </c>
      <c r="F138" s="3">
        <f>ISSUE!BC138</f>
        <v>3</v>
      </c>
      <c r="G138" s="3">
        <f t="shared" si="2"/>
        <v>2</v>
      </c>
    </row>
    <row r="139" spans="1:7" x14ac:dyDescent="0.25">
      <c r="A139" s="7">
        <v>138</v>
      </c>
      <c r="B139" s="3" t="str">
        <f>RECEIPT!B139</f>
        <v>MICRO METER SMALL</v>
      </c>
      <c r="C139" s="3" t="s">
        <v>7</v>
      </c>
      <c r="D139" s="3">
        <v>2</v>
      </c>
      <c r="E139" s="3">
        <f>RECEIPT!Q139</f>
        <v>0</v>
      </c>
      <c r="F139" s="3">
        <f>ISSUE!BC139</f>
        <v>0</v>
      </c>
      <c r="G139" s="3">
        <f t="shared" si="2"/>
        <v>2</v>
      </c>
    </row>
    <row r="140" spans="1:7" x14ac:dyDescent="0.25">
      <c r="A140" s="7">
        <v>139</v>
      </c>
      <c r="B140" s="3" t="str">
        <f>RECEIPT!B140</f>
        <v>MICRO METER BIG</v>
      </c>
      <c r="C140" s="3" t="s">
        <v>7</v>
      </c>
      <c r="D140" s="3">
        <v>1</v>
      </c>
      <c r="E140" s="3">
        <f>RECEIPT!Q140</f>
        <v>0</v>
      </c>
      <c r="F140" s="3">
        <f>ISSUE!BC140</f>
        <v>0</v>
      </c>
      <c r="G140" s="3">
        <f t="shared" si="2"/>
        <v>1</v>
      </c>
    </row>
    <row r="141" spans="1:7" x14ac:dyDescent="0.25">
      <c r="A141" s="7">
        <v>140</v>
      </c>
      <c r="B141" s="3" t="str">
        <f>RECEIPT!B141</f>
        <v>METAL SENSOR PRT18 8 DO</v>
      </c>
      <c r="C141" s="3" t="s">
        <v>7</v>
      </c>
      <c r="D141" s="3">
        <v>5</v>
      </c>
      <c r="E141" s="3">
        <f>RECEIPT!Q141</f>
        <v>0</v>
      </c>
      <c r="F141" s="3">
        <f>ISSUE!BC141</f>
        <v>0</v>
      </c>
      <c r="G141" s="3">
        <f t="shared" si="2"/>
        <v>5</v>
      </c>
    </row>
    <row r="142" spans="1:7" x14ac:dyDescent="0.25">
      <c r="A142" s="7">
        <v>141</v>
      </c>
      <c r="B142" s="3" t="str">
        <f>RECEIPT!B142</f>
        <v>METAL SENSOR PNP NO</v>
      </c>
      <c r="C142" s="3" t="s">
        <v>7</v>
      </c>
      <c r="D142" s="3">
        <v>1</v>
      </c>
      <c r="E142" s="3">
        <f>RECEIPT!Q142</f>
        <v>0</v>
      </c>
      <c r="F142" s="3">
        <f>ISSUE!BC142</f>
        <v>0</v>
      </c>
      <c r="G142" s="3">
        <f t="shared" si="2"/>
        <v>1</v>
      </c>
    </row>
    <row r="143" spans="1:7" x14ac:dyDescent="0.25">
      <c r="A143" s="7">
        <v>142</v>
      </c>
      <c r="B143" s="3" t="str">
        <f>RECEIPT!B143</f>
        <v>METAL SENSOR NPN NO</v>
      </c>
      <c r="C143" s="3" t="s">
        <v>7</v>
      </c>
      <c r="D143" s="3">
        <v>2</v>
      </c>
      <c r="E143" s="3">
        <f>RECEIPT!Q143</f>
        <v>0</v>
      </c>
      <c r="F143" s="3">
        <f>ISSUE!BC143</f>
        <v>0</v>
      </c>
      <c r="G143" s="3">
        <f t="shared" si="2"/>
        <v>2</v>
      </c>
    </row>
    <row r="144" spans="1:7" x14ac:dyDescent="0.25">
      <c r="A144" s="7">
        <v>143</v>
      </c>
      <c r="B144" s="3" t="str">
        <f>RECEIPT!B144</f>
        <v>METAL SENSOR CKDP 18</v>
      </c>
      <c r="C144" s="3" t="s">
        <v>7</v>
      </c>
      <c r="D144" s="3">
        <v>2</v>
      </c>
      <c r="E144" s="3">
        <f>RECEIPT!Q144</f>
        <v>0</v>
      </c>
      <c r="F144" s="3">
        <f>ISSUE!BC144</f>
        <v>0</v>
      </c>
      <c r="G144" s="3">
        <f t="shared" si="2"/>
        <v>2</v>
      </c>
    </row>
    <row r="145" spans="1:7" x14ac:dyDescent="0.25">
      <c r="A145" s="7">
        <v>144</v>
      </c>
      <c r="B145" s="3" t="str">
        <f>RECEIPT!B145</f>
        <v>MEGAR METER EARTHING</v>
      </c>
      <c r="C145" s="3" t="s">
        <v>7</v>
      </c>
      <c r="D145" s="3">
        <v>1</v>
      </c>
      <c r="E145" s="3">
        <f>RECEIPT!Q145</f>
        <v>0</v>
      </c>
      <c r="F145" s="3">
        <f>ISSUE!BC145</f>
        <v>0</v>
      </c>
      <c r="G145" s="3">
        <f t="shared" si="2"/>
        <v>1</v>
      </c>
    </row>
    <row r="146" spans="1:7" x14ac:dyDescent="0.25">
      <c r="A146" s="7">
        <v>145</v>
      </c>
      <c r="B146" s="3" t="str">
        <f>RECEIPT!B146</f>
        <v>MCCB 30AMP 3P</v>
      </c>
      <c r="C146" s="3" t="s">
        <v>7</v>
      </c>
      <c r="D146" s="3">
        <v>1</v>
      </c>
      <c r="E146" s="3">
        <f>RECEIPT!Q146</f>
        <v>0</v>
      </c>
      <c r="F146" s="3">
        <f>ISSUE!BC146</f>
        <v>0</v>
      </c>
      <c r="G146" s="3">
        <f t="shared" si="2"/>
        <v>1</v>
      </c>
    </row>
    <row r="147" spans="1:7" x14ac:dyDescent="0.25">
      <c r="A147" s="7">
        <v>146</v>
      </c>
      <c r="B147" s="3" t="str">
        <f>RECEIPT!B147</f>
        <v>MCCB 10AMP 3P</v>
      </c>
      <c r="C147" s="3" t="s">
        <v>7</v>
      </c>
      <c r="D147" s="3">
        <v>1</v>
      </c>
      <c r="E147" s="3">
        <f>RECEIPT!Q147</f>
        <v>0</v>
      </c>
      <c r="F147" s="3">
        <f>ISSUE!BC147</f>
        <v>0</v>
      </c>
      <c r="G147" s="3">
        <f t="shared" si="2"/>
        <v>1</v>
      </c>
    </row>
    <row r="148" spans="1:7" x14ac:dyDescent="0.25">
      <c r="A148" s="7">
        <v>147</v>
      </c>
      <c r="B148" s="3" t="str">
        <f>RECEIPT!B148</f>
        <v>MCB BOX 8 WAY</v>
      </c>
      <c r="C148" s="3" t="s">
        <v>7</v>
      </c>
      <c r="D148" s="3">
        <v>3</v>
      </c>
      <c r="E148" s="3">
        <f>RECEIPT!Q148</f>
        <v>6</v>
      </c>
      <c r="F148" s="3">
        <f>ISSUE!BC148</f>
        <v>0</v>
      </c>
      <c r="G148" s="3">
        <f t="shared" si="2"/>
        <v>9</v>
      </c>
    </row>
    <row r="149" spans="1:7" x14ac:dyDescent="0.25">
      <c r="A149" s="7">
        <v>148</v>
      </c>
      <c r="B149" s="3" t="str">
        <f>RECEIPT!B149</f>
        <v>MCB BOX 10 WAY</v>
      </c>
      <c r="C149" s="3" t="s">
        <v>7</v>
      </c>
      <c r="D149" s="3">
        <v>1</v>
      </c>
      <c r="E149" s="3">
        <f>RECEIPT!Q149</f>
        <v>0</v>
      </c>
      <c r="F149" s="3">
        <f>ISSUE!BC149</f>
        <v>0</v>
      </c>
      <c r="G149" s="3">
        <f t="shared" si="2"/>
        <v>1</v>
      </c>
    </row>
    <row r="150" spans="1:7" x14ac:dyDescent="0.25">
      <c r="A150" s="7">
        <v>149</v>
      </c>
      <c r="B150" s="3" t="str">
        <f>RECEIPT!B150</f>
        <v>MCB 6AMP 2P</v>
      </c>
      <c r="C150" s="3" t="s">
        <v>7</v>
      </c>
      <c r="D150" s="3">
        <v>2</v>
      </c>
      <c r="E150" s="3">
        <f>RECEIPT!Q150</f>
        <v>0</v>
      </c>
      <c r="F150" s="3">
        <f>ISSUE!BC150</f>
        <v>0</v>
      </c>
      <c r="G150" s="3">
        <f t="shared" si="2"/>
        <v>2</v>
      </c>
    </row>
    <row r="151" spans="1:7" x14ac:dyDescent="0.25">
      <c r="A151" s="7">
        <v>150</v>
      </c>
      <c r="B151" s="3" t="str">
        <f>RECEIPT!B151</f>
        <v>MCB 63AMP 4P</v>
      </c>
      <c r="C151" s="3" t="s">
        <v>7</v>
      </c>
      <c r="D151" s="3">
        <v>2</v>
      </c>
      <c r="E151" s="3">
        <f>RECEIPT!Q151</f>
        <v>0</v>
      </c>
      <c r="F151" s="3">
        <f>ISSUE!BC151</f>
        <v>0</v>
      </c>
      <c r="G151" s="3">
        <f t="shared" si="2"/>
        <v>2</v>
      </c>
    </row>
    <row r="152" spans="1:7" x14ac:dyDescent="0.25">
      <c r="A152" s="7">
        <v>151</v>
      </c>
      <c r="B152" s="3" t="str">
        <f>RECEIPT!B152</f>
        <v>MCB 63AMP 3P</v>
      </c>
      <c r="C152" s="3" t="s">
        <v>7</v>
      </c>
      <c r="D152" s="3">
        <v>3</v>
      </c>
      <c r="E152" s="3">
        <f>RECEIPT!Q152</f>
        <v>0</v>
      </c>
      <c r="F152" s="3">
        <f>ISSUE!BC152</f>
        <v>0</v>
      </c>
      <c r="G152" s="3">
        <f t="shared" si="2"/>
        <v>3</v>
      </c>
    </row>
    <row r="153" spans="1:7" x14ac:dyDescent="0.25">
      <c r="A153" s="7">
        <v>152</v>
      </c>
      <c r="B153" s="3" t="str">
        <f>RECEIPT!B153</f>
        <v>MCB 32AMP 4P</v>
      </c>
      <c r="C153" s="3" t="s">
        <v>7</v>
      </c>
      <c r="D153" s="3">
        <v>3</v>
      </c>
      <c r="E153" s="3">
        <f>RECEIPT!Q153</f>
        <v>0</v>
      </c>
      <c r="F153" s="3">
        <f>ISSUE!BC153</f>
        <v>0</v>
      </c>
      <c r="G153" s="3">
        <f t="shared" si="2"/>
        <v>3</v>
      </c>
    </row>
    <row r="154" spans="1:7" x14ac:dyDescent="0.25">
      <c r="A154" s="7">
        <v>153</v>
      </c>
      <c r="B154" s="3" t="str">
        <f>RECEIPT!B154</f>
        <v>MCB 32AMP 3P</v>
      </c>
      <c r="C154" s="3" t="s">
        <v>7</v>
      </c>
      <c r="D154" s="3">
        <v>0</v>
      </c>
      <c r="E154" s="3">
        <f>RECEIPT!Q154</f>
        <v>4</v>
      </c>
      <c r="F154" s="3">
        <f>ISSUE!BC154</f>
        <v>0</v>
      </c>
      <c r="G154" s="3">
        <f t="shared" si="2"/>
        <v>4</v>
      </c>
    </row>
    <row r="155" spans="1:7" x14ac:dyDescent="0.25">
      <c r="A155" s="7">
        <v>154</v>
      </c>
      <c r="B155" s="3" t="str">
        <f>RECEIPT!B155</f>
        <v>MCB 32AMP 2P</v>
      </c>
      <c r="C155" s="3" t="s">
        <v>7</v>
      </c>
      <c r="D155" s="3">
        <v>2</v>
      </c>
      <c r="E155" s="3">
        <f>RECEIPT!Q155</f>
        <v>0</v>
      </c>
      <c r="F155" s="3">
        <f>ISSUE!BC155</f>
        <v>0</v>
      </c>
      <c r="G155" s="3">
        <f t="shared" si="2"/>
        <v>2</v>
      </c>
    </row>
    <row r="156" spans="1:7" x14ac:dyDescent="0.25">
      <c r="A156" s="7">
        <v>155</v>
      </c>
      <c r="B156" s="3" t="str">
        <f>RECEIPT!B156</f>
        <v>MCB 32AMP 1P</v>
      </c>
      <c r="C156" s="3" t="s">
        <v>7</v>
      </c>
      <c r="D156" s="3">
        <v>1</v>
      </c>
      <c r="E156" s="3">
        <f>RECEIPT!Q156</f>
        <v>0</v>
      </c>
      <c r="F156" s="3">
        <f>ISSUE!BC156</f>
        <v>0</v>
      </c>
      <c r="G156" s="3">
        <f t="shared" si="2"/>
        <v>1</v>
      </c>
    </row>
    <row r="157" spans="1:7" x14ac:dyDescent="0.25">
      <c r="A157" s="7">
        <v>156</v>
      </c>
      <c r="B157" s="3" t="str">
        <f>RECEIPT!B157</f>
        <v>MCB 20AMP 3P</v>
      </c>
      <c r="C157" s="3" t="s">
        <v>7</v>
      </c>
      <c r="D157" s="3">
        <v>1</v>
      </c>
      <c r="E157" s="3">
        <f>RECEIPT!Q157</f>
        <v>0</v>
      </c>
      <c r="F157" s="3">
        <f>ISSUE!BC157</f>
        <v>0</v>
      </c>
      <c r="G157" s="3">
        <f t="shared" si="2"/>
        <v>1</v>
      </c>
    </row>
    <row r="158" spans="1:7" x14ac:dyDescent="0.25">
      <c r="A158" s="7">
        <v>157</v>
      </c>
      <c r="B158" s="3" t="str">
        <f>RECEIPT!B158</f>
        <v>MCB 16AMP 4P</v>
      </c>
      <c r="C158" s="3" t="s">
        <v>7</v>
      </c>
      <c r="D158" s="3">
        <v>1</v>
      </c>
      <c r="E158" s="3">
        <f>RECEIPT!Q158</f>
        <v>0</v>
      </c>
      <c r="F158" s="3">
        <f>ISSUE!BC158</f>
        <v>0</v>
      </c>
      <c r="G158" s="3">
        <f t="shared" si="2"/>
        <v>1</v>
      </c>
    </row>
    <row r="159" spans="1:7" x14ac:dyDescent="0.25">
      <c r="A159" s="7">
        <v>158</v>
      </c>
      <c r="B159" s="3" t="str">
        <f>RECEIPT!B159</f>
        <v>MCB 10AMP 2P</v>
      </c>
      <c r="C159" s="3" t="s">
        <v>7</v>
      </c>
      <c r="D159" s="3">
        <v>2</v>
      </c>
      <c r="E159" s="3">
        <f>RECEIPT!Q159</f>
        <v>0</v>
      </c>
      <c r="F159" s="3">
        <f>ISSUE!BC159</f>
        <v>0</v>
      </c>
      <c r="G159" s="3">
        <f t="shared" si="2"/>
        <v>2</v>
      </c>
    </row>
    <row r="160" spans="1:7" x14ac:dyDescent="0.25">
      <c r="A160" s="7">
        <v>159</v>
      </c>
      <c r="B160" s="3" t="str">
        <f>RECEIPT!B160</f>
        <v>MCB 10AMP 1P</v>
      </c>
      <c r="C160" s="3" t="s">
        <v>7</v>
      </c>
      <c r="D160" s="3">
        <v>2</v>
      </c>
      <c r="E160" s="3">
        <f>RECEIPT!Q160</f>
        <v>0</v>
      </c>
      <c r="F160" s="3">
        <f>ISSUE!BC160</f>
        <v>0</v>
      </c>
      <c r="G160" s="3">
        <f t="shared" si="2"/>
        <v>2</v>
      </c>
    </row>
    <row r="161" spans="1:7" x14ac:dyDescent="0.25">
      <c r="A161" s="7">
        <v>160</v>
      </c>
      <c r="B161" s="3" t="str">
        <f>RECEIPT!B161</f>
        <v>MALE FEMALE 2 PIN</v>
      </c>
      <c r="C161" s="3" t="s">
        <v>7</v>
      </c>
      <c r="D161" s="3">
        <v>0</v>
      </c>
      <c r="E161" s="3">
        <f>RECEIPT!Q161</f>
        <v>10</v>
      </c>
      <c r="F161" s="3">
        <f>ISSUE!BC161</f>
        <v>2</v>
      </c>
      <c r="G161" s="3">
        <f t="shared" si="2"/>
        <v>8</v>
      </c>
    </row>
    <row r="162" spans="1:7" x14ac:dyDescent="0.25">
      <c r="A162" s="7">
        <v>161</v>
      </c>
      <c r="B162" s="3" t="str">
        <f>RECEIPT!B162</f>
        <v>M SEAL</v>
      </c>
      <c r="C162" s="3" t="s">
        <v>7</v>
      </c>
      <c r="D162" s="3">
        <v>0.6</v>
      </c>
      <c r="E162" s="3">
        <f>RECEIPT!Q162</f>
        <v>0</v>
      </c>
      <c r="F162" s="3">
        <f>ISSUE!BC162</f>
        <v>0</v>
      </c>
      <c r="G162" s="3">
        <f t="shared" si="2"/>
        <v>0.6</v>
      </c>
    </row>
    <row r="163" spans="1:7" x14ac:dyDescent="0.25">
      <c r="A163" s="7">
        <v>162</v>
      </c>
      <c r="B163" s="3" t="str">
        <f>RECEIPT!B163</f>
        <v>LIMIT SWITCH</v>
      </c>
      <c r="C163" s="3" t="s">
        <v>7</v>
      </c>
      <c r="D163" s="3">
        <v>1</v>
      </c>
      <c r="E163" s="3">
        <f>RECEIPT!Q163</f>
        <v>0</v>
      </c>
      <c r="F163" s="3">
        <f>ISSUE!BC163</f>
        <v>0</v>
      </c>
      <c r="G163" s="3">
        <f t="shared" si="2"/>
        <v>1</v>
      </c>
    </row>
    <row r="164" spans="1:7" x14ac:dyDescent="0.25">
      <c r="A164" s="7">
        <v>163</v>
      </c>
      <c r="B164" s="3" t="str">
        <f>RECEIPT!B164</f>
        <v>LIGHTER</v>
      </c>
      <c r="C164" s="3" t="s">
        <v>7</v>
      </c>
      <c r="D164" s="3">
        <v>3</v>
      </c>
      <c r="E164" s="3">
        <f>RECEIPT!Q164</f>
        <v>0</v>
      </c>
      <c r="F164" s="3">
        <f>ISSUE!BC164</f>
        <v>0</v>
      </c>
      <c r="G164" s="3">
        <f t="shared" si="2"/>
        <v>3</v>
      </c>
    </row>
    <row r="165" spans="1:7" x14ac:dyDescent="0.25">
      <c r="A165" s="7">
        <v>164</v>
      </c>
      <c r="B165" s="3" t="str">
        <f>RECEIPT!B165</f>
        <v>JOINTER 8X6</v>
      </c>
      <c r="C165" s="3" t="s">
        <v>7</v>
      </c>
      <c r="D165" s="3">
        <v>9</v>
      </c>
      <c r="E165" s="3">
        <f>RECEIPT!Q165</f>
        <v>0</v>
      </c>
      <c r="F165" s="3">
        <f>ISSUE!BC165</f>
        <v>1</v>
      </c>
      <c r="G165" s="3">
        <f t="shared" si="2"/>
        <v>8</v>
      </c>
    </row>
    <row r="166" spans="1:7" x14ac:dyDescent="0.25">
      <c r="A166" s="7">
        <v>165</v>
      </c>
      <c r="B166" s="3" t="str">
        <f>RECEIPT!B166</f>
        <v>JOINTER 8MM</v>
      </c>
      <c r="C166" s="3" t="s">
        <v>7</v>
      </c>
      <c r="D166" s="3">
        <v>23</v>
      </c>
      <c r="E166" s="3">
        <f>RECEIPT!Q166</f>
        <v>0</v>
      </c>
      <c r="F166" s="3">
        <f>ISSUE!BC166</f>
        <v>2</v>
      </c>
      <c r="G166" s="3">
        <f t="shared" si="2"/>
        <v>21</v>
      </c>
    </row>
    <row r="167" spans="1:7" x14ac:dyDescent="0.25">
      <c r="A167" s="7">
        <v>166</v>
      </c>
      <c r="B167" s="3" t="str">
        <f>RECEIPT!B167</f>
        <v>JOINTER 6MM</v>
      </c>
      <c r="C167" s="3" t="s">
        <v>7</v>
      </c>
      <c r="D167" s="3">
        <v>5</v>
      </c>
      <c r="E167" s="3">
        <f>RECEIPT!Q167</f>
        <v>0</v>
      </c>
      <c r="F167" s="3">
        <f>ISSUE!BC167</f>
        <v>0</v>
      </c>
      <c r="G167" s="3">
        <f t="shared" si="2"/>
        <v>5</v>
      </c>
    </row>
    <row r="168" spans="1:7" x14ac:dyDescent="0.25">
      <c r="A168" s="7">
        <v>167</v>
      </c>
      <c r="B168" s="3" t="str">
        <f>RECEIPT!B168</f>
        <v>JOINTER 12MM</v>
      </c>
      <c r="C168" s="3" t="s">
        <v>7</v>
      </c>
      <c r="D168" s="3">
        <v>13</v>
      </c>
      <c r="E168" s="3">
        <f>RECEIPT!Q168</f>
        <v>0</v>
      </c>
      <c r="F168" s="3">
        <f>ISSUE!BC168</f>
        <v>1</v>
      </c>
      <c r="G168" s="3">
        <f t="shared" si="2"/>
        <v>12</v>
      </c>
    </row>
    <row r="169" spans="1:7" x14ac:dyDescent="0.25">
      <c r="A169" s="7">
        <v>168</v>
      </c>
      <c r="B169" s="3" t="str">
        <f>RECEIPT!B169</f>
        <v>JOINTER 10X8</v>
      </c>
      <c r="C169" s="3" t="s">
        <v>7</v>
      </c>
      <c r="D169" s="3">
        <v>5</v>
      </c>
      <c r="E169" s="3">
        <f>RECEIPT!Q169</f>
        <v>0</v>
      </c>
      <c r="F169" s="3">
        <f>ISSUE!BC169</f>
        <v>0</v>
      </c>
      <c r="G169" s="3">
        <f t="shared" si="2"/>
        <v>5</v>
      </c>
    </row>
    <row r="170" spans="1:7" x14ac:dyDescent="0.25">
      <c r="A170" s="7">
        <v>169</v>
      </c>
      <c r="B170" s="3" t="str">
        <f>RECEIPT!B170</f>
        <v>JOINTER 10X6</v>
      </c>
      <c r="C170" s="3" t="s">
        <v>7</v>
      </c>
      <c r="D170" s="3">
        <v>5</v>
      </c>
      <c r="E170" s="3">
        <f>RECEIPT!Q170</f>
        <v>0</v>
      </c>
      <c r="F170" s="3">
        <f>ISSUE!BC170</f>
        <v>0</v>
      </c>
      <c r="G170" s="3">
        <f t="shared" si="2"/>
        <v>5</v>
      </c>
    </row>
    <row r="171" spans="1:7" x14ac:dyDescent="0.25">
      <c r="A171" s="7">
        <v>170</v>
      </c>
      <c r="B171" s="3" t="str">
        <f>RECEIPT!B171</f>
        <v>JOINTER 10MM</v>
      </c>
      <c r="C171" s="3" t="s">
        <v>7</v>
      </c>
      <c r="D171" s="3">
        <v>11</v>
      </c>
      <c r="E171" s="3">
        <f>RECEIPT!Q171</f>
        <v>0</v>
      </c>
      <c r="F171" s="3">
        <f>ISSUE!BC171</f>
        <v>12</v>
      </c>
      <c r="G171" s="3">
        <f t="shared" si="2"/>
        <v>-1</v>
      </c>
    </row>
    <row r="172" spans="1:7" x14ac:dyDescent="0.25">
      <c r="A172" s="7">
        <v>171</v>
      </c>
      <c r="B172" s="3" t="str">
        <f>RECEIPT!B172</f>
        <v>INDICATOR RED</v>
      </c>
      <c r="C172" s="3" t="s">
        <v>7</v>
      </c>
      <c r="D172" s="3">
        <v>0</v>
      </c>
      <c r="E172" s="3">
        <f>RECEIPT!Q172</f>
        <v>0</v>
      </c>
      <c r="F172" s="3">
        <f>ISSUE!BC172</f>
        <v>0</v>
      </c>
      <c r="G172" s="3">
        <f t="shared" si="2"/>
        <v>0</v>
      </c>
    </row>
    <row r="173" spans="1:7" x14ac:dyDescent="0.25">
      <c r="A173" s="7">
        <v>172</v>
      </c>
      <c r="B173" s="3" t="str">
        <f>RECEIPT!B173</f>
        <v>INDICATOR  YELLOW</v>
      </c>
      <c r="C173" s="3" t="s">
        <v>7</v>
      </c>
      <c r="D173" s="3">
        <v>8</v>
      </c>
      <c r="E173" s="3">
        <f>RECEIPT!Q173</f>
        <v>0</v>
      </c>
      <c r="F173" s="3">
        <f>ISSUE!BC173</f>
        <v>0</v>
      </c>
      <c r="G173" s="3">
        <f t="shared" si="2"/>
        <v>8</v>
      </c>
    </row>
    <row r="174" spans="1:7" x14ac:dyDescent="0.25">
      <c r="A174" s="7">
        <v>173</v>
      </c>
      <c r="B174" s="3" t="str">
        <f>RECEIPT!B174</f>
        <v>INDICATOR  BLUE</v>
      </c>
      <c r="C174" s="3" t="s">
        <v>7</v>
      </c>
      <c r="D174" s="3">
        <v>5</v>
      </c>
      <c r="E174" s="3">
        <f>RECEIPT!Q174</f>
        <v>0</v>
      </c>
      <c r="F174" s="3">
        <f>ISSUE!BC174</f>
        <v>0</v>
      </c>
      <c r="G174" s="3">
        <f t="shared" si="2"/>
        <v>5</v>
      </c>
    </row>
    <row r="175" spans="1:7" x14ac:dyDescent="0.25">
      <c r="A175" s="7">
        <v>174</v>
      </c>
      <c r="B175" s="3" t="str">
        <f>RECEIPT!B175</f>
        <v>INCH TAPE</v>
      </c>
      <c r="C175" s="3" t="s">
        <v>7</v>
      </c>
      <c r="D175" s="3">
        <v>8</v>
      </c>
      <c r="E175" s="3">
        <f>RECEIPT!Q175</f>
        <v>0</v>
      </c>
      <c r="F175" s="3">
        <f>ISSUE!BC175</f>
        <v>7</v>
      </c>
      <c r="G175" s="3">
        <f t="shared" si="2"/>
        <v>1</v>
      </c>
    </row>
    <row r="176" spans="1:7" x14ac:dyDescent="0.25">
      <c r="A176" s="7">
        <v>175</v>
      </c>
      <c r="B176" s="3">
        <f>RECEIPT!B176</f>
        <v>0</v>
      </c>
      <c r="C176" s="3" t="s">
        <v>7</v>
      </c>
      <c r="D176" s="3">
        <v>0</v>
      </c>
      <c r="E176" s="3">
        <f>RECEIPT!Q176</f>
        <v>0</v>
      </c>
      <c r="F176" s="3">
        <f>ISSUE!BC176</f>
        <v>0</v>
      </c>
      <c r="G176" s="3">
        <f t="shared" si="2"/>
        <v>0</v>
      </c>
    </row>
    <row r="177" spans="1:7" x14ac:dyDescent="0.25">
      <c r="A177" s="7">
        <v>176</v>
      </c>
      <c r="B177" s="3">
        <f>RECEIPT!B177</f>
        <v>0</v>
      </c>
      <c r="C177" s="3" t="s">
        <v>7</v>
      </c>
      <c r="D177" s="3">
        <v>0</v>
      </c>
      <c r="E177" s="3">
        <f>RECEIPT!Q177</f>
        <v>0</v>
      </c>
      <c r="F177" s="3">
        <f>ISSUE!BC177</f>
        <v>0</v>
      </c>
      <c r="G177" s="3">
        <f t="shared" si="2"/>
        <v>0</v>
      </c>
    </row>
    <row r="178" spans="1:7" x14ac:dyDescent="0.25">
      <c r="A178" s="7">
        <v>177</v>
      </c>
      <c r="B178" s="3">
        <f>RECEIPT!B178</f>
        <v>0</v>
      </c>
      <c r="C178" s="3" t="s">
        <v>7</v>
      </c>
      <c r="D178" s="3">
        <v>0</v>
      </c>
      <c r="E178" s="3">
        <f>RECEIPT!Q178</f>
        <v>0</v>
      </c>
      <c r="F178" s="3">
        <f>ISSUE!BC178</f>
        <v>0</v>
      </c>
      <c r="G178" s="3">
        <f t="shared" si="2"/>
        <v>0</v>
      </c>
    </row>
    <row r="179" spans="1:7" x14ac:dyDescent="0.25">
      <c r="A179" s="7">
        <v>178</v>
      </c>
      <c r="B179" s="3" t="str">
        <f>RECEIPT!B179</f>
        <v>HINGE</v>
      </c>
      <c r="C179" s="3" t="s">
        <v>7</v>
      </c>
      <c r="D179" s="3">
        <v>7</v>
      </c>
      <c r="E179" s="3">
        <f>RECEIPT!Q179</f>
        <v>0</v>
      </c>
      <c r="F179" s="3">
        <f>ISSUE!BC179</f>
        <v>0</v>
      </c>
      <c r="G179" s="3">
        <f t="shared" si="2"/>
        <v>7</v>
      </c>
    </row>
    <row r="180" spans="1:7" x14ac:dyDescent="0.25">
      <c r="A180" s="7">
        <v>179</v>
      </c>
      <c r="B180" s="3" t="str">
        <f>RECEIPT!B180</f>
        <v>HEATER MALE FEMALE CONNECTOR</v>
      </c>
      <c r="C180" s="3" t="s">
        <v>7</v>
      </c>
      <c r="D180" s="3">
        <v>8</v>
      </c>
      <c r="E180" s="3">
        <f>RECEIPT!Q180</f>
        <v>0</v>
      </c>
      <c r="F180" s="3">
        <f>ISSUE!BC180</f>
        <v>0</v>
      </c>
      <c r="G180" s="3">
        <f t="shared" si="2"/>
        <v>8</v>
      </c>
    </row>
    <row r="181" spans="1:7" x14ac:dyDescent="0.25">
      <c r="A181" s="7">
        <v>180</v>
      </c>
      <c r="B181" s="3" t="str">
        <f>RECEIPT!B181</f>
        <v>HEAT GUN</v>
      </c>
      <c r="C181" s="3" t="s">
        <v>7</v>
      </c>
      <c r="D181" s="3">
        <v>4</v>
      </c>
      <c r="E181" s="3">
        <f>RECEIPT!Q181</f>
        <v>0</v>
      </c>
      <c r="F181" s="3">
        <f>ISSUE!BC181</f>
        <v>2</v>
      </c>
      <c r="G181" s="3">
        <f t="shared" si="2"/>
        <v>2</v>
      </c>
    </row>
    <row r="182" spans="1:7" x14ac:dyDescent="0.25">
      <c r="A182" s="7">
        <v>181</v>
      </c>
      <c r="B182" s="3" t="str">
        <f>RECEIPT!B182</f>
        <v>HALOZEN STAND</v>
      </c>
      <c r="C182" s="3" t="s">
        <v>7</v>
      </c>
      <c r="D182" s="3">
        <v>2</v>
      </c>
      <c r="E182" s="3">
        <f>RECEIPT!Q182</f>
        <v>0</v>
      </c>
      <c r="F182" s="3">
        <f>ISSUE!BC182</f>
        <v>0</v>
      </c>
      <c r="G182" s="3">
        <f t="shared" si="2"/>
        <v>2</v>
      </c>
    </row>
    <row r="183" spans="1:7" x14ac:dyDescent="0.25">
      <c r="A183" s="7">
        <v>182</v>
      </c>
      <c r="B183" s="3" t="str">
        <f>RECEIPT!B183</f>
        <v>HALOZEN 500W</v>
      </c>
      <c r="C183" s="3" t="s">
        <v>7</v>
      </c>
      <c r="D183" s="3">
        <v>11</v>
      </c>
      <c r="E183" s="3">
        <f>RECEIPT!Q183</f>
        <v>0</v>
      </c>
      <c r="F183" s="3">
        <f>ISSUE!BC183</f>
        <v>0</v>
      </c>
      <c r="G183" s="3">
        <f t="shared" si="2"/>
        <v>11</v>
      </c>
    </row>
    <row r="184" spans="1:7" x14ac:dyDescent="0.25">
      <c r="A184" s="7">
        <v>183</v>
      </c>
      <c r="B184" s="3" t="str">
        <f>RECEIPT!B184</f>
        <v>GUN HEATER</v>
      </c>
      <c r="C184" s="3" t="s">
        <v>7</v>
      </c>
      <c r="D184" s="3">
        <v>12</v>
      </c>
      <c r="E184" s="3">
        <f>RECEIPT!Q184</f>
        <v>28</v>
      </c>
      <c r="F184" s="3">
        <f>ISSUE!BC184</f>
        <v>4</v>
      </c>
      <c r="G184" s="3">
        <f t="shared" si="2"/>
        <v>36</v>
      </c>
    </row>
    <row r="185" spans="1:7" x14ac:dyDescent="0.25">
      <c r="A185" s="7">
        <v>184</v>
      </c>
      <c r="B185" s="3" t="str">
        <f>RECEIPT!B185</f>
        <v>GRINDING  WHEEL 5"</v>
      </c>
      <c r="C185" s="3" t="s">
        <v>7</v>
      </c>
      <c r="D185" s="3">
        <v>1</v>
      </c>
      <c r="E185" s="3">
        <f>RECEIPT!Q185</f>
        <v>0</v>
      </c>
      <c r="F185" s="3">
        <f>ISSUE!BC185</f>
        <v>0</v>
      </c>
      <c r="G185" s="3">
        <f t="shared" si="2"/>
        <v>1</v>
      </c>
    </row>
    <row r="186" spans="1:7" x14ac:dyDescent="0.25">
      <c r="A186" s="7">
        <v>185</v>
      </c>
      <c r="B186" s="3" t="str">
        <f>RECEIPT!B186</f>
        <v>GRINDING  WHEEL 4"</v>
      </c>
      <c r="C186" s="3" t="s">
        <v>7</v>
      </c>
      <c r="D186" s="3">
        <v>74</v>
      </c>
      <c r="E186" s="3">
        <f>RECEIPT!Q186</f>
        <v>0</v>
      </c>
      <c r="F186" s="3">
        <f>ISSUE!BC186</f>
        <v>0</v>
      </c>
      <c r="G186" s="3">
        <f t="shared" si="2"/>
        <v>74</v>
      </c>
    </row>
    <row r="187" spans="1:7" x14ac:dyDescent="0.25">
      <c r="A187" s="7">
        <v>186</v>
      </c>
      <c r="B187" s="3" t="str">
        <f>RECEIPT!B187</f>
        <v>GREASE LGHP 2R/1</v>
      </c>
      <c r="C187" s="3" t="s">
        <v>7</v>
      </c>
      <c r="D187" s="3">
        <v>1</v>
      </c>
      <c r="E187" s="3">
        <f>RECEIPT!Q187</f>
        <v>0</v>
      </c>
      <c r="F187" s="3">
        <f>ISSUE!BC187</f>
        <v>0</v>
      </c>
      <c r="G187" s="3">
        <f t="shared" si="2"/>
        <v>1</v>
      </c>
    </row>
    <row r="188" spans="1:7" x14ac:dyDescent="0.25">
      <c r="A188" s="7">
        <v>187</v>
      </c>
      <c r="B188" s="3" t="str">
        <f>RECEIPT!B188</f>
        <v>GLASS TAPE</v>
      </c>
      <c r="C188" s="3" t="s">
        <v>7</v>
      </c>
      <c r="D188" s="3">
        <v>3</v>
      </c>
      <c r="E188" s="3">
        <f>RECEIPT!Q188</f>
        <v>10</v>
      </c>
      <c r="F188" s="3">
        <f>ISSUE!BC188</f>
        <v>2</v>
      </c>
      <c r="G188" s="3">
        <f t="shared" si="2"/>
        <v>11</v>
      </c>
    </row>
    <row r="189" spans="1:7" x14ac:dyDescent="0.25">
      <c r="A189" s="7">
        <v>188</v>
      </c>
      <c r="B189" s="3" t="str">
        <f>RECEIPT!B189</f>
        <v>GLASS FUSE BASE 15A</v>
      </c>
      <c r="C189" s="3" t="s">
        <v>7</v>
      </c>
      <c r="D189" s="3">
        <v>8</v>
      </c>
      <c r="E189" s="3">
        <f>RECEIPT!Q189</f>
        <v>0</v>
      </c>
      <c r="F189" s="3">
        <f>ISSUE!BC189</f>
        <v>0</v>
      </c>
      <c r="G189" s="3">
        <f t="shared" si="2"/>
        <v>8</v>
      </c>
    </row>
    <row r="190" spans="1:7" x14ac:dyDescent="0.25">
      <c r="A190" s="7">
        <v>189</v>
      </c>
      <c r="B190" s="3" t="str">
        <f>RECEIPT!B190</f>
        <v>GLASS FUSE 6A</v>
      </c>
      <c r="C190" s="3" t="s">
        <v>7</v>
      </c>
      <c r="D190" s="3">
        <v>17</v>
      </c>
      <c r="E190" s="3">
        <f>RECEIPT!Q190</f>
        <v>0</v>
      </c>
      <c r="F190" s="3">
        <f>ISSUE!BC190</f>
        <v>0</v>
      </c>
      <c r="G190" s="3">
        <f t="shared" si="2"/>
        <v>17</v>
      </c>
    </row>
    <row r="191" spans="1:7" x14ac:dyDescent="0.25">
      <c r="A191" s="7">
        <v>190</v>
      </c>
      <c r="B191" s="3" t="str">
        <f>RECEIPT!B191</f>
        <v>GLASS FUSE 5A</v>
      </c>
      <c r="C191" s="3" t="s">
        <v>7</v>
      </c>
      <c r="D191" s="3">
        <v>19</v>
      </c>
      <c r="E191" s="3">
        <f>RECEIPT!Q191</f>
        <v>0</v>
      </c>
      <c r="F191" s="3">
        <f>ISSUE!BC191</f>
        <v>0</v>
      </c>
      <c r="G191" s="3">
        <f t="shared" si="2"/>
        <v>19</v>
      </c>
    </row>
    <row r="192" spans="1:7" x14ac:dyDescent="0.25">
      <c r="A192" s="7">
        <v>191</v>
      </c>
      <c r="B192" s="3" t="str">
        <f>RECEIPT!B192</f>
        <v>GLASS FUSE 35A</v>
      </c>
      <c r="C192" s="3" t="s">
        <v>7</v>
      </c>
      <c r="D192" s="3">
        <v>5</v>
      </c>
      <c r="E192" s="3">
        <f>RECEIPT!Q192</f>
        <v>0</v>
      </c>
      <c r="F192" s="3">
        <f>ISSUE!BC192</f>
        <v>0</v>
      </c>
      <c r="G192" s="3">
        <f t="shared" si="2"/>
        <v>5</v>
      </c>
    </row>
    <row r="193" spans="1:7" x14ac:dyDescent="0.25">
      <c r="A193" s="7">
        <v>192</v>
      </c>
      <c r="B193" s="3" t="str">
        <f>RECEIPT!B193</f>
        <v>GLASS FUSE 32A</v>
      </c>
      <c r="C193" s="3" t="s">
        <v>7</v>
      </c>
      <c r="D193" s="3">
        <v>23</v>
      </c>
      <c r="E193" s="3">
        <f>RECEIPT!Q193</f>
        <v>0</v>
      </c>
      <c r="F193" s="3">
        <f>ISSUE!BC193</f>
        <v>0</v>
      </c>
      <c r="G193" s="3">
        <f t="shared" si="2"/>
        <v>23</v>
      </c>
    </row>
    <row r="194" spans="1:7" x14ac:dyDescent="0.25">
      <c r="A194" s="7">
        <v>193</v>
      </c>
      <c r="B194" s="3" t="str">
        <f>RECEIPT!B194</f>
        <v>GLASS FUSE 15A</v>
      </c>
      <c r="C194" s="3" t="s">
        <v>7</v>
      </c>
      <c r="D194" s="3">
        <v>18</v>
      </c>
      <c r="E194" s="3">
        <f>RECEIPT!Q194</f>
        <v>0</v>
      </c>
      <c r="F194" s="3">
        <f>ISSUE!BC194</f>
        <v>0</v>
      </c>
      <c r="G194" s="3">
        <f t="shared" si="2"/>
        <v>18</v>
      </c>
    </row>
    <row r="195" spans="1:7" x14ac:dyDescent="0.25">
      <c r="A195" s="7">
        <v>194</v>
      </c>
      <c r="B195" s="3" t="str">
        <f>RECEIPT!B195</f>
        <v>GI HYDRAULIC NIPPLE D TYPE 3/4"</v>
      </c>
      <c r="C195" s="3" t="s">
        <v>7</v>
      </c>
      <c r="D195" s="3">
        <v>13</v>
      </c>
      <c r="E195" s="3">
        <f>RECEIPT!Q195</f>
        <v>0</v>
      </c>
      <c r="F195" s="3">
        <f>ISSUE!BC195</f>
        <v>0</v>
      </c>
      <c r="G195" s="3">
        <f t="shared" ref="G195:G258" si="3">+D195+E195-F195</f>
        <v>13</v>
      </c>
    </row>
    <row r="196" spans="1:7" x14ac:dyDescent="0.25">
      <c r="A196" s="7">
        <v>195</v>
      </c>
      <c r="B196" s="3" t="str">
        <f>RECEIPT!B196</f>
        <v>GI HYDRAULIC NIPPLE C TYPE 3/4" X 1/2"</v>
      </c>
      <c r="C196" s="3" t="s">
        <v>7</v>
      </c>
      <c r="D196" s="3">
        <v>2</v>
      </c>
      <c r="E196" s="3">
        <f>RECEIPT!Q196</f>
        <v>0</v>
      </c>
      <c r="F196" s="3">
        <f>ISSUE!BC196</f>
        <v>0</v>
      </c>
      <c r="G196" s="3">
        <f t="shared" si="3"/>
        <v>2</v>
      </c>
    </row>
    <row r="197" spans="1:7" x14ac:dyDescent="0.25">
      <c r="A197" s="7">
        <v>196</v>
      </c>
      <c r="B197" s="3" t="str">
        <f>RECEIPT!B197</f>
        <v>GI HYDRAULIC NIPPLE C TYPE 3/4"</v>
      </c>
      <c r="C197" s="3" t="s">
        <v>7</v>
      </c>
      <c r="D197" s="3">
        <v>12</v>
      </c>
      <c r="E197" s="3">
        <f>RECEIPT!Q197</f>
        <v>0</v>
      </c>
      <c r="F197" s="3">
        <f>ISSUE!BC197</f>
        <v>0</v>
      </c>
      <c r="G197" s="3">
        <f t="shared" si="3"/>
        <v>12</v>
      </c>
    </row>
    <row r="198" spans="1:7" x14ac:dyDescent="0.25">
      <c r="A198" s="7">
        <v>197</v>
      </c>
      <c r="B198" s="3" t="str">
        <f>RECEIPT!B198</f>
        <v>GI HYDRAULIC NIPPLE C TYPE 1/2"</v>
      </c>
      <c r="C198" s="3" t="s">
        <v>7</v>
      </c>
      <c r="D198" s="3">
        <v>4</v>
      </c>
      <c r="E198" s="3">
        <f>RECEIPT!Q198</f>
        <v>0</v>
      </c>
      <c r="F198" s="3">
        <f>ISSUE!BC198</f>
        <v>0</v>
      </c>
      <c r="G198" s="3">
        <f t="shared" si="3"/>
        <v>4</v>
      </c>
    </row>
    <row r="199" spans="1:7" x14ac:dyDescent="0.25">
      <c r="A199" s="7">
        <v>198</v>
      </c>
      <c r="B199" s="3" t="str">
        <f>RECEIPT!B199</f>
        <v>GI HYDRAULIC NIPPLE C TYPE 1" X 3/4"</v>
      </c>
      <c r="C199" s="3" t="s">
        <v>7</v>
      </c>
      <c r="D199" s="3">
        <v>8</v>
      </c>
      <c r="E199" s="3">
        <f>RECEIPT!Q199</f>
        <v>0</v>
      </c>
      <c r="F199" s="3">
        <f>ISSUE!BC199</f>
        <v>0</v>
      </c>
      <c r="G199" s="3">
        <f t="shared" si="3"/>
        <v>8</v>
      </c>
    </row>
    <row r="200" spans="1:7" x14ac:dyDescent="0.25">
      <c r="A200" s="7">
        <v>199</v>
      </c>
      <c r="B200" s="3" t="str">
        <f>RECEIPT!B200</f>
        <v>GI HYDRAULIC NIPPLE C TYPE 1" X 1/2"</v>
      </c>
      <c r="C200" s="3" t="s">
        <v>7</v>
      </c>
      <c r="D200" s="3">
        <v>4</v>
      </c>
      <c r="E200" s="3">
        <f>RECEIPT!Q200</f>
        <v>0</v>
      </c>
      <c r="F200" s="3">
        <f>ISSUE!BC200</f>
        <v>0</v>
      </c>
      <c r="G200" s="3">
        <f t="shared" si="3"/>
        <v>4</v>
      </c>
    </row>
    <row r="201" spans="1:7" x14ac:dyDescent="0.25">
      <c r="A201" s="7">
        <v>200</v>
      </c>
      <c r="B201" s="3" t="str">
        <f>RECEIPT!B201</f>
        <v>GI HYDRAULIC NIPPLE C TYPE 1"</v>
      </c>
      <c r="C201" s="3" t="s">
        <v>7</v>
      </c>
      <c r="D201" s="3">
        <v>1</v>
      </c>
      <c r="E201" s="3">
        <f>RECEIPT!Q201</f>
        <v>0</v>
      </c>
      <c r="F201" s="3">
        <f>ISSUE!BC201</f>
        <v>0</v>
      </c>
      <c r="G201" s="3">
        <f t="shared" si="3"/>
        <v>1</v>
      </c>
    </row>
    <row r="202" spans="1:7" x14ac:dyDescent="0.25">
      <c r="A202" s="7">
        <v>201</v>
      </c>
      <c r="B202" s="3" t="str">
        <f>RECEIPT!B202</f>
        <v>GI HYDRAULIC NIPPLE 3/4"</v>
      </c>
      <c r="C202" s="3" t="s">
        <v>7</v>
      </c>
      <c r="D202" s="3">
        <v>2</v>
      </c>
      <c r="E202" s="3">
        <f>RECEIPT!Q202</f>
        <v>0</v>
      </c>
      <c r="F202" s="3">
        <f>ISSUE!BC202</f>
        <v>0</v>
      </c>
      <c r="G202" s="3">
        <f t="shared" si="3"/>
        <v>2</v>
      </c>
    </row>
    <row r="203" spans="1:7" x14ac:dyDescent="0.25">
      <c r="A203" s="7">
        <v>202</v>
      </c>
      <c r="B203" s="3" t="str">
        <f>RECEIPT!B203</f>
        <v>GI HYDRAULIC NIPPLE 1.5"X2"</v>
      </c>
      <c r="C203" s="3" t="s">
        <v>7</v>
      </c>
      <c r="D203" s="3">
        <v>2</v>
      </c>
      <c r="E203" s="3">
        <f>RECEIPT!Q203</f>
        <v>0</v>
      </c>
      <c r="F203" s="3">
        <f>ISSUE!BC203</f>
        <v>2</v>
      </c>
      <c r="G203" s="3">
        <f t="shared" si="3"/>
        <v>0</v>
      </c>
    </row>
    <row r="204" spans="1:7" x14ac:dyDescent="0.25">
      <c r="A204" s="7">
        <v>203</v>
      </c>
      <c r="B204" s="3" t="str">
        <f>RECEIPT!B204</f>
        <v>G.I.HYDRAULIC NIPPLE 1/4" X 3/8"</v>
      </c>
      <c r="C204" s="3" t="s">
        <v>7</v>
      </c>
      <c r="D204" s="3">
        <v>2</v>
      </c>
      <c r="E204" s="3">
        <f>RECEIPT!Q204</f>
        <v>0</v>
      </c>
      <c r="F204" s="3">
        <f>ISSUE!BC204</f>
        <v>0</v>
      </c>
      <c r="G204" s="3">
        <f t="shared" si="3"/>
        <v>2</v>
      </c>
    </row>
    <row r="205" spans="1:7" x14ac:dyDescent="0.25">
      <c r="A205" s="7">
        <v>204</v>
      </c>
      <c r="B205" s="3" t="str">
        <f>RECEIPT!B205</f>
        <v>G.I.HYDRAULIC NIPPLE 1/4"</v>
      </c>
      <c r="C205" s="3" t="s">
        <v>7</v>
      </c>
      <c r="D205" s="3">
        <v>8</v>
      </c>
      <c r="E205" s="3">
        <f>RECEIPT!Q205</f>
        <v>0</v>
      </c>
      <c r="F205" s="3">
        <f>ISSUE!BC205</f>
        <v>0</v>
      </c>
      <c r="G205" s="3">
        <f t="shared" si="3"/>
        <v>8</v>
      </c>
    </row>
    <row r="206" spans="1:7" x14ac:dyDescent="0.25">
      <c r="A206" s="7">
        <v>205</v>
      </c>
      <c r="B206" s="3" t="str">
        <f>RECEIPT!B206</f>
        <v>G.I.HYDRAULIC NIPPLE 1/2" X 3/8"</v>
      </c>
      <c r="C206" s="3" t="s">
        <v>7</v>
      </c>
      <c r="D206" s="3">
        <v>12</v>
      </c>
      <c r="E206" s="3">
        <f>RECEIPT!Q206</f>
        <v>0</v>
      </c>
      <c r="F206" s="3">
        <f>ISSUE!BC206</f>
        <v>0</v>
      </c>
      <c r="G206" s="3">
        <f t="shared" si="3"/>
        <v>12</v>
      </c>
    </row>
    <row r="207" spans="1:7" x14ac:dyDescent="0.25">
      <c r="A207" s="7">
        <v>206</v>
      </c>
      <c r="B207" s="3" t="str">
        <f>RECEIPT!B207</f>
        <v>G.I.HEX NIPPLE 1/4"</v>
      </c>
      <c r="C207" s="3" t="s">
        <v>7</v>
      </c>
      <c r="D207" s="3">
        <v>3</v>
      </c>
      <c r="E207" s="3">
        <f>RECEIPT!Q207</f>
        <v>0</v>
      </c>
      <c r="F207" s="3">
        <f>ISSUE!BC207</f>
        <v>0</v>
      </c>
      <c r="G207" s="3">
        <f t="shared" si="3"/>
        <v>3</v>
      </c>
    </row>
    <row r="208" spans="1:7" x14ac:dyDescent="0.25">
      <c r="A208" s="7">
        <v>207</v>
      </c>
      <c r="B208" s="3" t="str">
        <f>RECEIPT!B208</f>
        <v>FUSE BASE 32A</v>
      </c>
      <c r="C208" s="3" t="s">
        <v>7</v>
      </c>
      <c r="D208" s="3">
        <v>5</v>
      </c>
      <c r="E208" s="3">
        <f>RECEIPT!Q208</f>
        <v>0</v>
      </c>
      <c r="F208" s="3">
        <f>ISSUE!BC208</f>
        <v>0</v>
      </c>
      <c r="G208" s="3">
        <f t="shared" si="3"/>
        <v>5</v>
      </c>
    </row>
    <row r="209" spans="1:7" x14ac:dyDescent="0.25">
      <c r="A209" s="7">
        <v>208</v>
      </c>
      <c r="B209" s="3" t="str">
        <f>RECEIPT!B209</f>
        <v>FRL 1/8"</v>
      </c>
      <c r="C209" s="3" t="s">
        <v>7</v>
      </c>
      <c r="D209" s="3">
        <v>1</v>
      </c>
      <c r="E209" s="3">
        <f>RECEIPT!Q209</f>
        <v>0</v>
      </c>
      <c r="F209" s="3">
        <f>ISSUE!BC209</f>
        <v>0</v>
      </c>
      <c r="G209" s="3">
        <f t="shared" si="3"/>
        <v>1</v>
      </c>
    </row>
    <row r="210" spans="1:7" x14ac:dyDescent="0.25">
      <c r="A210" s="7">
        <v>209</v>
      </c>
      <c r="B210" s="3" t="str">
        <f>RECEIPT!B210</f>
        <v>FRL 1/2"</v>
      </c>
      <c r="C210" s="3" t="s">
        <v>7</v>
      </c>
      <c r="D210" s="3">
        <v>1</v>
      </c>
      <c r="E210" s="3">
        <f>RECEIPT!Q210</f>
        <v>0</v>
      </c>
      <c r="F210" s="3">
        <f>ISSUE!BC210</f>
        <v>0</v>
      </c>
      <c r="G210" s="3">
        <f t="shared" si="3"/>
        <v>1</v>
      </c>
    </row>
    <row r="211" spans="1:7" x14ac:dyDescent="0.25">
      <c r="A211" s="7">
        <v>210</v>
      </c>
      <c r="B211" s="3" t="str">
        <f>RECEIPT!B211</f>
        <v>FOOT SWITCH</v>
      </c>
      <c r="C211" s="3" t="s">
        <v>7</v>
      </c>
      <c r="D211" s="3">
        <v>8</v>
      </c>
      <c r="E211" s="3">
        <f>RECEIPT!Q211</f>
        <v>0</v>
      </c>
      <c r="F211" s="3">
        <f>ISSUE!BC211</f>
        <v>0</v>
      </c>
      <c r="G211" s="3">
        <f t="shared" si="3"/>
        <v>8</v>
      </c>
    </row>
    <row r="212" spans="1:7" x14ac:dyDescent="0.25">
      <c r="A212" s="7">
        <v>211</v>
      </c>
      <c r="B212" s="3" t="str">
        <f>RECEIPT!B212</f>
        <v>FLOW CONTROL VALVE 3/8 X 10</v>
      </c>
      <c r="C212" s="3" t="s">
        <v>7</v>
      </c>
      <c r="D212" s="3">
        <v>13</v>
      </c>
      <c r="E212" s="3">
        <f>RECEIPT!Q212</f>
        <v>0</v>
      </c>
      <c r="F212" s="3">
        <f>ISSUE!BC212</f>
        <v>0</v>
      </c>
      <c r="G212" s="3">
        <f t="shared" si="3"/>
        <v>13</v>
      </c>
    </row>
    <row r="213" spans="1:7" x14ac:dyDescent="0.25">
      <c r="A213" s="7">
        <v>212</v>
      </c>
      <c r="B213" s="3" t="str">
        <f>RECEIPT!B213</f>
        <v>FLOW CONTROL VALVE 1/4 X 10</v>
      </c>
      <c r="C213" s="3" t="s">
        <v>7</v>
      </c>
      <c r="D213" s="3">
        <v>5</v>
      </c>
      <c r="E213" s="3">
        <f>RECEIPT!Q213</f>
        <v>0</v>
      </c>
      <c r="F213" s="3">
        <f>ISSUE!BC213</f>
        <v>0</v>
      </c>
      <c r="G213" s="3">
        <f t="shared" si="3"/>
        <v>5</v>
      </c>
    </row>
    <row r="214" spans="1:7" x14ac:dyDescent="0.25">
      <c r="A214" s="7">
        <v>213</v>
      </c>
      <c r="B214" s="3" t="str">
        <f>RECEIPT!B214</f>
        <v>FLOW CONTROL VALVE 1/2 X 12</v>
      </c>
      <c r="C214" s="3" t="s">
        <v>7</v>
      </c>
      <c r="D214" s="3">
        <v>9</v>
      </c>
      <c r="E214" s="3">
        <f>RECEIPT!Q214</f>
        <v>0</v>
      </c>
      <c r="F214" s="3">
        <f>ISSUE!BC214</f>
        <v>0</v>
      </c>
      <c r="G214" s="3">
        <f t="shared" si="3"/>
        <v>9</v>
      </c>
    </row>
    <row r="215" spans="1:7" x14ac:dyDescent="0.25">
      <c r="A215" s="7">
        <v>214</v>
      </c>
      <c r="B215" s="3" t="str">
        <f>RECEIPT!B215</f>
        <v>FLOW CONTROL VALVE 1/2 X 10</v>
      </c>
      <c r="C215" s="3" t="s">
        <v>7</v>
      </c>
      <c r="D215" s="3">
        <v>8</v>
      </c>
      <c r="E215" s="3">
        <f>RECEIPT!Q215</f>
        <v>0</v>
      </c>
      <c r="F215" s="3">
        <f>ISSUE!BC215</f>
        <v>0</v>
      </c>
      <c r="G215" s="3">
        <f t="shared" si="3"/>
        <v>8</v>
      </c>
    </row>
    <row r="216" spans="1:7" x14ac:dyDescent="0.25">
      <c r="A216" s="7">
        <v>215</v>
      </c>
      <c r="B216" s="3" t="str">
        <f>RECEIPT!B216</f>
        <v>FLOW CONTROL VALVE  3/8 X 12</v>
      </c>
      <c r="C216" s="3" t="s">
        <v>7</v>
      </c>
      <c r="D216" s="3">
        <v>2</v>
      </c>
      <c r="E216" s="3">
        <f>RECEIPT!Q216</f>
        <v>0</v>
      </c>
      <c r="F216" s="3">
        <f>ISSUE!BC216</f>
        <v>0</v>
      </c>
      <c r="G216" s="3">
        <f t="shared" si="3"/>
        <v>2</v>
      </c>
    </row>
    <row r="217" spans="1:7" x14ac:dyDescent="0.25">
      <c r="A217" s="7">
        <v>216</v>
      </c>
      <c r="B217" s="3" t="str">
        <f>RECEIPT!B217</f>
        <v>FLOOD LIGHT 50W</v>
      </c>
      <c r="C217" s="3" t="s">
        <v>7</v>
      </c>
      <c r="D217" s="3">
        <v>0</v>
      </c>
      <c r="E217" s="3">
        <f>RECEIPT!Q217</f>
        <v>2</v>
      </c>
      <c r="F217" s="3">
        <f>ISSUE!BC217</f>
        <v>2</v>
      </c>
      <c r="G217" s="3">
        <f t="shared" si="3"/>
        <v>0</v>
      </c>
    </row>
    <row r="218" spans="1:7" x14ac:dyDescent="0.25">
      <c r="A218" s="7">
        <v>217</v>
      </c>
      <c r="B218" s="3" t="str">
        <f>RECEIPT!B218</f>
        <v>EXT.FAN MOTOR 18"</v>
      </c>
      <c r="C218" s="3" t="s">
        <v>7</v>
      </c>
      <c r="D218" s="3">
        <v>1</v>
      </c>
      <c r="E218" s="3">
        <f>RECEIPT!Q218</f>
        <v>0</v>
      </c>
      <c r="F218" s="3">
        <f>ISSUE!BC218</f>
        <v>0</v>
      </c>
      <c r="G218" s="3">
        <f t="shared" si="3"/>
        <v>1</v>
      </c>
    </row>
    <row r="219" spans="1:7" x14ac:dyDescent="0.25">
      <c r="A219" s="7">
        <v>218</v>
      </c>
      <c r="B219" s="3" t="str">
        <f>RECEIPT!B219</f>
        <v>ELBOW 3/8 X 8</v>
      </c>
      <c r="C219" s="3" t="s">
        <v>7</v>
      </c>
      <c r="D219" s="3">
        <v>5</v>
      </c>
      <c r="E219" s="3">
        <f>RECEIPT!Q219</f>
        <v>0</v>
      </c>
      <c r="F219" s="3">
        <f>ISSUE!BC219</f>
        <v>0</v>
      </c>
      <c r="G219" s="3">
        <f t="shared" si="3"/>
        <v>5</v>
      </c>
    </row>
    <row r="220" spans="1:7" x14ac:dyDescent="0.25">
      <c r="A220" s="7">
        <v>219</v>
      </c>
      <c r="B220" s="3" t="str">
        <f>RECEIPT!B220</f>
        <v>ELBOW 3/8 X 12</v>
      </c>
      <c r="C220" s="3" t="s">
        <v>7</v>
      </c>
      <c r="D220" s="3">
        <v>9</v>
      </c>
      <c r="E220" s="3">
        <f>RECEIPT!Q220</f>
        <v>0</v>
      </c>
      <c r="F220" s="3">
        <f>ISSUE!BC220</f>
        <v>0</v>
      </c>
      <c r="G220" s="3">
        <f t="shared" si="3"/>
        <v>9</v>
      </c>
    </row>
    <row r="221" spans="1:7" x14ac:dyDescent="0.25">
      <c r="A221" s="7">
        <v>220</v>
      </c>
      <c r="B221" s="3" t="str">
        <f>RECEIPT!B221</f>
        <v>ELBOW 3/8 X 10</v>
      </c>
      <c r="C221" s="3" t="s">
        <v>7</v>
      </c>
      <c r="D221" s="3">
        <v>17</v>
      </c>
      <c r="E221" s="3">
        <f>RECEIPT!Q221</f>
        <v>0</v>
      </c>
      <c r="F221" s="3">
        <f>ISSUE!BC221</f>
        <v>0</v>
      </c>
      <c r="G221" s="3">
        <f t="shared" si="3"/>
        <v>17</v>
      </c>
    </row>
    <row r="222" spans="1:7" x14ac:dyDescent="0.25">
      <c r="A222" s="7">
        <v>221</v>
      </c>
      <c r="B222" s="3" t="str">
        <f>RECEIPT!B222</f>
        <v>ELBOW 1/4 X 8</v>
      </c>
      <c r="C222" s="3" t="s">
        <v>7</v>
      </c>
      <c r="D222" s="3">
        <v>0</v>
      </c>
      <c r="E222" s="3">
        <f>RECEIPT!Q222</f>
        <v>0</v>
      </c>
      <c r="F222" s="3">
        <f>ISSUE!BC222</f>
        <v>0</v>
      </c>
      <c r="G222" s="3">
        <f t="shared" si="3"/>
        <v>0</v>
      </c>
    </row>
    <row r="223" spans="1:7" x14ac:dyDescent="0.25">
      <c r="A223" s="7">
        <v>222</v>
      </c>
      <c r="B223" s="3" t="str">
        <f>RECEIPT!B223</f>
        <v>ELBOW 1/4 X 8</v>
      </c>
      <c r="C223" s="3" t="s">
        <v>7</v>
      </c>
      <c r="D223" s="3">
        <v>5</v>
      </c>
      <c r="E223" s="3">
        <f>RECEIPT!Q223</f>
        <v>0</v>
      </c>
      <c r="F223" s="3">
        <f>ISSUE!BC223</f>
        <v>0</v>
      </c>
      <c r="G223" s="3">
        <f t="shared" si="3"/>
        <v>5</v>
      </c>
    </row>
    <row r="224" spans="1:7" x14ac:dyDescent="0.25">
      <c r="A224" s="7">
        <v>223</v>
      </c>
      <c r="B224" s="3" t="str">
        <f>RECEIPT!B224</f>
        <v>ELBOW 1/4 X 6</v>
      </c>
      <c r="C224" s="3" t="s">
        <v>7</v>
      </c>
      <c r="D224" s="3">
        <v>6</v>
      </c>
      <c r="E224" s="3">
        <f>RECEIPT!Q224</f>
        <v>0</v>
      </c>
      <c r="F224" s="3">
        <f>ISSUE!BC224</f>
        <v>0</v>
      </c>
      <c r="G224" s="3">
        <f t="shared" si="3"/>
        <v>6</v>
      </c>
    </row>
    <row r="225" spans="1:7" x14ac:dyDescent="0.25">
      <c r="A225" s="7">
        <v>224</v>
      </c>
      <c r="B225" s="3" t="str">
        <f>RECEIPT!B225</f>
        <v>ELBOW 1/4 X 12</v>
      </c>
      <c r="C225" s="3" t="s">
        <v>7</v>
      </c>
      <c r="D225" s="3">
        <v>8</v>
      </c>
      <c r="E225" s="3">
        <f>RECEIPT!Q225</f>
        <v>0</v>
      </c>
      <c r="F225" s="3">
        <f>ISSUE!BC225</f>
        <v>0</v>
      </c>
      <c r="G225" s="3">
        <f t="shared" si="3"/>
        <v>8</v>
      </c>
    </row>
    <row r="226" spans="1:7" x14ac:dyDescent="0.25">
      <c r="A226" s="7">
        <v>225</v>
      </c>
      <c r="B226" s="3" t="str">
        <f>RECEIPT!B226</f>
        <v>ELBOW 1/4 X 10</v>
      </c>
      <c r="C226" s="3" t="s">
        <v>7</v>
      </c>
      <c r="D226" s="3">
        <v>10</v>
      </c>
      <c r="E226" s="3">
        <f>RECEIPT!Q226</f>
        <v>0</v>
      </c>
      <c r="F226" s="3">
        <f>ISSUE!BC226</f>
        <v>0</v>
      </c>
      <c r="G226" s="3">
        <f t="shared" si="3"/>
        <v>10</v>
      </c>
    </row>
    <row r="227" spans="1:7" x14ac:dyDescent="0.25">
      <c r="A227" s="7">
        <v>226</v>
      </c>
      <c r="B227" s="3" t="str">
        <f>RECEIPT!B227</f>
        <v>ELBOW 1/4 X 10</v>
      </c>
      <c r="C227" s="3" t="s">
        <v>7</v>
      </c>
      <c r="D227" s="3">
        <v>0</v>
      </c>
      <c r="E227" s="3">
        <f>RECEIPT!Q227</f>
        <v>0</v>
      </c>
      <c r="F227" s="3">
        <f>ISSUE!BC227</f>
        <v>0</v>
      </c>
      <c r="G227" s="3">
        <f t="shared" si="3"/>
        <v>0</v>
      </c>
    </row>
    <row r="228" spans="1:7" x14ac:dyDescent="0.25">
      <c r="A228" s="7">
        <v>227</v>
      </c>
      <c r="B228" s="3" t="str">
        <f>RECEIPT!B228</f>
        <v>ELBOW 1/2 X 8</v>
      </c>
      <c r="C228" s="3" t="s">
        <v>7</v>
      </c>
      <c r="D228" s="3">
        <v>13</v>
      </c>
      <c r="E228" s="3">
        <f>RECEIPT!Q228</f>
        <v>0</v>
      </c>
      <c r="F228" s="3">
        <f>ISSUE!BC228</f>
        <v>0</v>
      </c>
      <c r="G228" s="3">
        <f t="shared" si="3"/>
        <v>13</v>
      </c>
    </row>
    <row r="229" spans="1:7" x14ac:dyDescent="0.25">
      <c r="A229" s="7">
        <v>228</v>
      </c>
      <c r="B229" s="3" t="str">
        <f>RECEIPT!B229</f>
        <v>ELBOW 1/2 X 8</v>
      </c>
      <c r="C229" s="3" t="s">
        <v>7</v>
      </c>
      <c r="D229" s="3">
        <v>0</v>
      </c>
      <c r="E229" s="3">
        <f>RECEIPT!Q229</f>
        <v>0</v>
      </c>
      <c r="F229" s="3">
        <f>ISSUE!BC229</f>
        <v>0</v>
      </c>
      <c r="G229" s="3">
        <f t="shared" si="3"/>
        <v>0</v>
      </c>
    </row>
    <row r="230" spans="1:7" x14ac:dyDescent="0.25">
      <c r="A230" s="7">
        <v>229</v>
      </c>
      <c r="B230" s="3" t="str">
        <f>RECEIPT!B230</f>
        <v>ELBOW 1/2 X 6</v>
      </c>
      <c r="C230" s="3" t="s">
        <v>7</v>
      </c>
      <c r="D230" s="3">
        <v>4</v>
      </c>
      <c r="E230" s="3">
        <f>RECEIPT!Q230</f>
        <v>0</v>
      </c>
      <c r="F230" s="3">
        <f>ISSUE!BC230</f>
        <v>0</v>
      </c>
      <c r="G230" s="3">
        <f t="shared" si="3"/>
        <v>4</v>
      </c>
    </row>
    <row r="231" spans="1:7" x14ac:dyDescent="0.25">
      <c r="A231" s="7">
        <v>230</v>
      </c>
      <c r="B231" s="3" t="str">
        <f>RECEIPT!B231</f>
        <v>ELBOW 1/2 X 6</v>
      </c>
      <c r="C231" s="3" t="s">
        <v>7</v>
      </c>
      <c r="D231" s="3">
        <v>0</v>
      </c>
      <c r="E231" s="3">
        <f>RECEIPT!Q231</f>
        <v>0</v>
      </c>
      <c r="F231" s="3">
        <f>ISSUE!BC231</f>
        <v>0</v>
      </c>
      <c r="G231" s="3">
        <f t="shared" si="3"/>
        <v>0</v>
      </c>
    </row>
    <row r="232" spans="1:7" x14ac:dyDescent="0.25">
      <c r="A232" s="7">
        <v>231</v>
      </c>
      <c r="B232" s="3" t="str">
        <f>RECEIPT!B232</f>
        <v>ELBOW 1/2 X 12</v>
      </c>
      <c r="C232" s="3" t="s">
        <v>7</v>
      </c>
      <c r="D232" s="3">
        <v>3</v>
      </c>
      <c r="E232" s="3">
        <f>RECEIPT!Q232</f>
        <v>0</v>
      </c>
      <c r="F232" s="3">
        <f>ISSUE!BC232</f>
        <v>0</v>
      </c>
      <c r="G232" s="3">
        <f t="shared" si="3"/>
        <v>3</v>
      </c>
    </row>
    <row r="233" spans="1:7" x14ac:dyDescent="0.25">
      <c r="A233" s="7">
        <v>232</v>
      </c>
      <c r="B233" s="3" t="str">
        <f>RECEIPT!B233</f>
        <v>DVA - MT4Y-AV-4N</v>
      </c>
      <c r="C233" s="3" t="s">
        <v>7</v>
      </c>
      <c r="D233" s="3">
        <v>1</v>
      </c>
      <c r="E233" s="3">
        <f>RECEIPT!Q233</f>
        <v>0</v>
      </c>
      <c r="F233" s="3">
        <f>ISSUE!BC233</f>
        <v>0</v>
      </c>
      <c r="G233" s="3">
        <f t="shared" si="3"/>
        <v>1</v>
      </c>
    </row>
    <row r="234" spans="1:7" x14ac:dyDescent="0.25">
      <c r="A234" s="7">
        <v>233</v>
      </c>
      <c r="B234" s="3" t="str">
        <f>RECEIPT!B234</f>
        <v>DRIVE FAN</v>
      </c>
      <c r="C234" s="3" t="s">
        <v>7</v>
      </c>
      <c r="D234" s="3">
        <v>3</v>
      </c>
      <c r="E234" s="3">
        <f>RECEIPT!Q234</f>
        <v>0</v>
      </c>
      <c r="F234" s="3">
        <f>ISSUE!BC234</f>
        <v>0</v>
      </c>
      <c r="G234" s="3">
        <f t="shared" si="3"/>
        <v>3</v>
      </c>
    </row>
    <row r="235" spans="1:7" x14ac:dyDescent="0.25">
      <c r="A235" s="7">
        <v>234</v>
      </c>
      <c r="B235" s="3" t="str">
        <f>RECEIPT!B235</f>
        <v>DRIVE 5HP</v>
      </c>
      <c r="C235" s="3" t="s">
        <v>7</v>
      </c>
      <c r="D235" s="3">
        <v>1</v>
      </c>
      <c r="E235" s="3">
        <f>RECEIPT!Q235</f>
        <v>0</v>
      </c>
      <c r="F235" s="3">
        <f>ISSUE!BC235</f>
        <v>0</v>
      </c>
      <c r="G235" s="3">
        <f t="shared" si="3"/>
        <v>1</v>
      </c>
    </row>
    <row r="236" spans="1:7" x14ac:dyDescent="0.25">
      <c r="A236" s="7">
        <v>235</v>
      </c>
      <c r="B236" s="3" t="str">
        <f>RECEIPT!B236</f>
        <v>DRIVE 4KW 5.5HP (VFD)</v>
      </c>
      <c r="C236" s="3" t="s">
        <v>7</v>
      </c>
      <c r="D236" s="3">
        <v>1</v>
      </c>
      <c r="E236" s="3">
        <f>RECEIPT!Q236</f>
        <v>0</v>
      </c>
      <c r="F236" s="3">
        <f>ISSUE!BC236</f>
        <v>0</v>
      </c>
      <c r="G236" s="3">
        <f t="shared" si="3"/>
        <v>1</v>
      </c>
    </row>
    <row r="237" spans="1:7" x14ac:dyDescent="0.25">
      <c r="A237" s="7">
        <v>236</v>
      </c>
      <c r="B237" s="3" t="str">
        <f>RECEIPT!B237</f>
        <v>DIGITAL TEMP.METER</v>
      </c>
      <c r="C237" s="3" t="s">
        <v>7</v>
      </c>
      <c r="D237" s="3">
        <v>1</v>
      </c>
      <c r="E237" s="3">
        <f>RECEIPT!Q237</f>
        <v>0</v>
      </c>
      <c r="F237" s="3">
        <f>ISSUE!BC237</f>
        <v>0</v>
      </c>
      <c r="G237" s="3">
        <f t="shared" si="3"/>
        <v>1</v>
      </c>
    </row>
    <row r="238" spans="1:7" x14ac:dyDescent="0.25">
      <c r="A238" s="7">
        <v>237</v>
      </c>
      <c r="B238" s="3">
        <f>RECEIPT!B238</f>
        <v>0</v>
      </c>
      <c r="C238" s="3" t="s">
        <v>7</v>
      </c>
      <c r="D238" s="3">
        <v>0</v>
      </c>
      <c r="E238" s="3">
        <f>RECEIPT!Q238</f>
        <v>0</v>
      </c>
      <c r="F238" s="3">
        <f>ISSUE!BC238</f>
        <v>0</v>
      </c>
      <c r="G238" s="3">
        <f t="shared" si="3"/>
        <v>0</v>
      </c>
    </row>
    <row r="239" spans="1:7" x14ac:dyDescent="0.25">
      <c r="A239" s="7">
        <v>238</v>
      </c>
      <c r="B239" s="3" t="str">
        <f>RECEIPT!B239</f>
        <v>DIE ROD HEATER 800W</v>
      </c>
      <c r="C239" s="3" t="s">
        <v>7</v>
      </c>
      <c r="D239" s="3">
        <v>4</v>
      </c>
      <c r="E239" s="3">
        <f>RECEIPT!Q239</f>
        <v>0</v>
      </c>
      <c r="F239" s="3">
        <f>ISSUE!BC239</f>
        <v>0</v>
      </c>
      <c r="G239" s="3">
        <f t="shared" si="3"/>
        <v>4</v>
      </c>
    </row>
    <row r="240" spans="1:7" x14ac:dyDescent="0.25">
      <c r="A240" s="7">
        <v>239</v>
      </c>
      <c r="B240" s="3" t="str">
        <f>RECEIPT!B240</f>
        <v>DIE ROD HEATER 700W</v>
      </c>
      <c r="C240" s="3" t="s">
        <v>7</v>
      </c>
      <c r="D240" s="3">
        <v>13</v>
      </c>
      <c r="E240" s="3">
        <f>RECEIPT!Q240</f>
        <v>0</v>
      </c>
      <c r="F240" s="3">
        <f>ISSUE!BC240</f>
        <v>0</v>
      </c>
      <c r="G240" s="3">
        <f t="shared" si="3"/>
        <v>13</v>
      </c>
    </row>
    <row r="241" spans="1:7" x14ac:dyDescent="0.25">
      <c r="A241" s="7">
        <v>240</v>
      </c>
      <c r="B241" s="3" t="str">
        <f>RECEIPT!B241</f>
        <v>DIE ROD HEATER 600W</v>
      </c>
      <c r="C241" s="3" t="s">
        <v>7</v>
      </c>
      <c r="D241" s="3">
        <v>6</v>
      </c>
      <c r="E241" s="3">
        <f>RECEIPT!Q241</f>
        <v>0</v>
      </c>
      <c r="F241" s="3">
        <f>ISSUE!BC241</f>
        <v>0</v>
      </c>
      <c r="G241" s="3">
        <f t="shared" si="3"/>
        <v>6</v>
      </c>
    </row>
    <row r="242" spans="1:7" x14ac:dyDescent="0.25">
      <c r="A242" s="7">
        <v>241</v>
      </c>
      <c r="B242" s="3" t="str">
        <f>RECEIPT!B242</f>
        <v>DIE ROD HEATER 400W</v>
      </c>
      <c r="C242" s="3" t="s">
        <v>7</v>
      </c>
      <c r="D242" s="3">
        <v>4</v>
      </c>
      <c r="E242" s="3">
        <f>RECEIPT!Q242</f>
        <v>0</v>
      </c>
      <c r="F242" s="3">
        <f>ISSUE!BC242</f>
        <v>0</v>
      </c>
      <c r="G242" s="3">
        <f t="shared" si="3"/>
        <v>4</v>
      </c>
    </row>
    <row r="243" spans="1:7" x14ac:dyDescent="0.25">
      <c r="A243" s="7">
        <v>242</v>
      </c>
      <c r="B243" s="3" t="str">
        <f>RECEIPT!B243</f>
        <v>DIAL GAUGE SMALL</v>
      </c>
      <c r="C243" s="3" t="s">
        <v>7</v>
      </c>
      <c r="D243" s="3">
        <v>3</v>
      </c>
      <c r="E243" s="3">
        <f>RECEIPT!Q243</f>
        <v>0</v>
      </c>
      <c r="F243" s="3">
        <f>ISSUE!BC243</f>
        <v>1</v>
      </c>
      <c r="G243" s="3">
        <f t="shared" si="3"/>
        <v>2</v>
      </c>
    </row>
    <row r="244" spans="1:7" x14ac:dyDescent="0.25">
      <c r="A244" s="7">
        <v>243</v>
      </c>
      <c r="B244" s="3" t="str">
        <f>RECEIPT!B244</f>
        <v>DIAL GAUGE MITUTOYO</v>
      </c>
      <c r="C244" s="3" t="s">
        <v>7</v>
      </c>
      <c r="D244" s="3">
        <v>4</v>
      </c>
      <c r="E244" s="3">
        <f>RECEIPT!Q244</f>
        <v>0</v>
      </c>
      <c r="F244" s="3">
        <f>ISSUE!BC244</f>
        <v>0</v>
      </c>
      <c r="G244" s="3">
        <f t="shared" si="3"/>
        <v>4</v>
      </c>
    </row>
    <row r="245" spans="1:7" x14ac:dyDescent="0.25">
      <c r="A245" s="7">
        <v>244</v>
      </c>
      <c r="B245" s="3" t="str">
        <f>RECEIPT!B245</f>
        <v>DIAL GAUGE BIG</v>
      </c>
      <c r="C245" s="3" t="s">
        <v>7</v>
      </c>
      <c r="D245" s="3">
        <v>2</v>
      </c>
      <c r="E245" s="3">
        <f>RECEIPT!Q245</f>
        <v>0</v>
      </c>
      <c r="F245" s="3">
        <f>ISSUE!BC245</f>
        <v>0</v>
      </c>
      <c r="G245" s="3">
        <f t="shared" si="3"/>
        <v>2</v>
      </c>
    </row>
    <row r="246" spans="1:7" x14ac:dyDescent="0.25">
      <c r="A246" s="7">
        <v>245</v>
      </c>
      <c r="B246" s="3" t="str">
        <f>RECEIPT!B246</f>
        <v>CUTTING  WHEEL 5"</v>
      </c>
      <c r="C246" s="3" t="s">
        <v>7</v>
      </c>
      <c r="D246" s="3">
        <v>3</v>
      </c>
      <c r="E246" s="3">
        <f>RECEIPT!Q246</f>
        <v>0</v>
      </c>
      <c r="F246" s="3">
        <f>ISSUE!BC246</f>
        <v>0</v>
      </c>
      <c r="G246" s="3">
        <f t="shared" si="3"/>
        <v>3</v>
      </c>
    </row>
    <row r="247" spans="1:7" x14ac:dyDescent="0.25">
      <c r="A247" s="7">
        <v>246</v>
      </c>
      <c r="B247" s="3" t="str">
        <f>RECEIPT!B247</f>
        <v>CUTTING  WHEEL 4"</v>
      </c>
      <c r="C247" s="3" t="s">
        <v>7</v>
      </c>
      <c r="D247" s="3">
        <v>78</v>
      </c>
      <c r="E247" s="3">
        <f>RECEIPT!Q247</f>
        <v>0</v>
      </c>
      <c r="F247" s="3">
        <f>ISSUE!BC247</f>
        <v>18</v>
      </c>
      <c r="G247" s="3">
        <f t="shared" si="3"/>
        <v>60</v>
      </c>
    </row>
    <row r="248" spans="1:7" x14ac:dyDescent="0.25">
      <c r="A248" s="7">
        <v>247</v>
      </c>
      <c r="B248" s="3" t="str">
        <f>RECEIPT!B248</f>
        <v>CUTTING  WHEEL 14"</v>
      </c>
      <c r="C248" s="3" t="s">
        <v>7</v>
      </c>
      <c r="D248" s="3">
        <v>6</v>
      </c>
      <c r="E248" s="3">
        <f>RECEIPT!Q248</f>
        <v>0</v>
      </c>
      <c r="F248" s="3">
        <f>ISSUE!BC248</f>
        <v>1</v>
      </c>
      <c r="G248" s="3">
        <f t="shared" si="3"/>
        <v>5</v>
      </c>
    </row>
    <row r="249" spans="1:7" x14ac:dyDescent="0.25">
      <c r="A249" s="7">
        <v>248</v>
      </c>
      <c r="B249" s="3" t="str">
        <f>RECEIPT!B249</f>
        <v>CT - DOCR-1S-1E</v>
      </c>
      <c r="C249" s="3" t="s">
        <v>7</v>
      </c>
      <c r="D249" s="3">
        <v>2</v>
      </c>
      <c r="E249" s="3">
        <f>RECEIPT!Q249</f>
        <v>0</v>
      </c>
      <c r="F249" s="3">
        <f>ISSUE!BC249</f>
        <v>0</v>
      </c>
      <c r="G249" s="3">
        <f t="shared" si="3"/>
        <v>2</v>
      </c>
    </row>
    <row r="250" spans="1:7" x14ac:dyDescent="0.25">
      <c r="A250" s="7">
        <v>249</v>
      </c>
      <c r="B250" s="3" t="str">
        <f>RECEIPT!B250</f>
        <v>CT -  MP21SS005S4</v>
      </c>
      <c r="C250" s="3" t="s">
        <v>7</v>
      </c>
      <c r="D250" s="3">
        <v>1</v>
      </c>
      <c r="E250" s="3">
        <f>RECEIPT!Q250</f>
        <v>0</v>
      </c>
      <c r="F250" s="3">
        <f>ISSUE!BC250</f>
        <v>0</v>
      </c>
      <c r="G250" s="3">
        <f t="shared" si="3"/>
        <v>1</v>
      </c>
    </row>
    <row r="251" spans="1:7" x14ac:dyDescent="0.25">
      <c r="A251" s="7">
        <v>250</v>
      </c>
      <c r="B251" s="3" t="str">
        <f>RECEIPT!B251</f>
        <v>COUNTER METER CT6M-1P4</v>
      </c>
      <c r="C251" s="3" t="s">
        <v>7</v>
      </c>
      <c r="D251" s="3">
        <v>2</v>
      </c>
      <c r="E251" s="3">
        <f>RECEIPT!Q251</f>
        <v>2</v>
      </c>
      <c r="F251" s="3">
        <f>ISSUE!BC251</f>
        <v>1</v>
      </c>
      <c r="G251" s="3">
        <f t="shared" si="3"/>
        <v>3</v>
      </c>
    </row>
    <row r="252" spans="1:7" x14ac:dyDescent="0.25">
      <c r="A252" s="7">
        <v>251</v>
      </c>
      <c r="B252" s="3" t="str">
        <f>RECEIPT!B252</f>
        <v>COPPER THIMBLE RING TYPE 95MM</v>
      </c>
      <c r="C252" s="3" t="s">
        <v>7</v>
      </c>
      <c r="D252" s="3">
        <v>13</v>
      </c>
      <c r="E252" s="3">
        <f>RECEIPT!Q252</f>
        <v>0</v>
      </c>
      <c r="F252" s="3">
        <f>ISSUE!BC252</f>
        <v>0</v>
      </c>
      <c r="G252" s="3">
        <f t="shared" si="3"/>
        <v>13</v>
      </c>
    </row>
    <row r="253" spans="1:7" x14ac:dyDescent="0.25">
      <c r="A253" s="7">
        <v>252</v>
      </c>
      <c r="B253" s="3" t="str">
        <f>RECEIPT!B253</f>
        <v>COPPER THIMBLE RING TYPE 70MM</v>
      </c>
      <c r="C253" s="3" t="s">
        <v>7</v>
      </c>
      <c r="D253" s="3">
        <v>4</v>
      </c>
      <c r="E253" s="3">
        <f>RECEIPT!Q253</f>
        <v>0</v>
      </c>
      <c r="F253" s="3">
        <f>ISSUE!BC253</f>
        <v>0</v>
      </c>
      <c r="G253" s="3">
        <f t="shared" si="3"/>
        <v>4</v>
      </c>
    </row>
    <row r="254" spans="1:7" x14ac:dyDescent="0.25">
      <c r="A254" s="7">
        <v>253</v>
      </c>
      <c r="B254" s="3" t="str">
        <f>RECEIPT!B254</f>
        <v>COPPER THIMBLE RING TYPE 35MM</v>
      </c>
      <c r="C254" s="3" t="s">
        <v>7</v>
      </c>
      <c r="D254" s="3">
        <v>4</v>
      </c>
      <c r="E254" s="3">
        <f>RECEIPT!Q254</f>
        <v>0</v>
      </c>
      <c r="F254" s="3">
        <f>ISSUE!BC254</f>
        <v>0</v>
      </c>
      <c r="G254" s="3">
        <f t="shared" si="3"/>
        <v>4</v>
      </c>
    </row>
    <row r="255" spans="1:7" x14ac:dyDescent="0.25">
      <c r="A255" s="7">
        <v>254</v>
      </c>
      <c r="B255" s="3" t="str">
        <f>RECEIPT!B255</f>
        <v>COPPER THIMBLE RING TYPE 300MM</v>
      </c>
      <c r="C255" s="3" t="s">
        <v>7</v>
      </c>
      <c r="D255" s="3">
        <v>1</v>
      </c>
      <c r="E255" s="3">
        <f>RECEIPT!Q255</f>
        <v>0</v>
      </c>
      <c r="F255" s="3">
        <f>ISSUE!BC255</f>
        <v>0</v>
      </c>
      <c r="G255" s="3">
        <f t="shared" si="3"/>
        <v>1</v>
      </c>
    </row>
    <row r="256" spans="1:7" x14ac:dyDescent="0.25">
      <c r="A256" s="7">
        <v>255</v>
      </c>
      <c r="B256" s="3" t="str">
        <f>RECEIPT!B256</f>
        <v>COPPER THIMBLE RING TYPE 25MM</v>
      </c>
      <c r="C256" s="3" t="s">
        <v>7</v>
      </c>
      <c r="D256" s="3">
        <v>11</v>
      </c>
      <c r="E256" s="3">
        <f>RECEIPT!Q256</f>
        <v>0</v>
      </c>
      <c r="F256" s="3">
        <f>ISSUE!BC256</f>
        <v>1</v>
      </c>
      <c r="G256" s="3">
        <f t="shared" si="3"/>
        <v>10</v>
      </c>
    </row>
    <row r="257" spans="1:7" x14ac:dyDescent="0.25">
      <c r="A257" s="7">
        <v>256</v>
      </c>
      <c r="B257" s="3" t="str">
        <f>RECEIPT!B257</f>
        <v>COPPER THIMBLE RING TYPE 2.5MM</v>
      </c>
      <c r="C257" s="3" t="s">
        <v>7</v>
      </c>
      <c r="D257" s="3">
        <v>200</v>
      </c>
      <c r="E257" s="3">
        <f>RECEIPT!Q257</f>
        <v>0</v>
      </c>
      <c r="F257" s="3">
        <f>ISSUE!BC257</f>
        <v>26</v>
      </c>
      <c r="G257" s="3">
        <f t="shared" si="3"/>
        <v>174</v>
      </c>
    </row>
    <row r="258" spans="1:7" x14ac:dyDescent="0.25">
      <c r="A258" s="7">
        <v>257</v>
      </c>
      <c r="B258" s="3" t="str">
        <f>RECEIPT!B258</f>
        <v>COPPER THIMBLE RING TYPE 185MM</v>
      </c>
      <c r="C258" s="3" t="s">
        <v>7</v>
      </c>
      <c r="D258" s="3">
        <v>1</v>
      </c>
      <c r="E258" s="3">
        <f>RECEIPT!Q258</f>
        <v>0</v>
      </c>
      <c r="F258" s="3">
        <f>ISSUE!BC258</f>
        <v>0</v>
      </c>
      <c r="G258" s="3">
        <f t="shared" si="3"/>
        <v>1</v>
      </c>
    </row>
    <row r="259" spans="1:7" x14ac:dyDescent="0.25">
      <c r="A259" s="7">
        <v>258</v>
      </c>
      <c r="B259" s="3" t="str">
        <f>RECEIPT!B259</f>
        <v>COPPER THIMBLE RING TYPE 16MM</v>
      </c>
      <c r="C259" s="3" t="s">
        <v>7</v>
      </c>
      <c r="D259" s="3">
        <v>27</v>
      </c>
      <c r="E259" s="3">
        <f>RECEIPT!Q259</f>
        <v>0</v>
      </c>
      <c r="F259" s="3">
        <f>ISSUE!BC259</f>
        <v>0</v>
      </c>
      <c r="G259" s="3">
        <f t="shared" ref="G259:G322" si="4">+D259+E259-F259</f>
        <v>27</v>
      </c>
    </row>
    <row r="260" spans="1:7" x14ac:dyDescent="0.25">
      <c r="A260" s="7">
        <v>259</v>
      </c>
      <c r="B260" s="3" t="str">
        <f>RECEIPT!B260</f>
        <v>COPPER THIMBLE RING TYPE 120MM</v>
      </c>
      <c r="C260" s="3" t="s">
        <v>7</v>
      </c>
      <c r="D260" s="3">
        <v>4</v>
      </c>
      <c r="E260" s="3">
        <f>RECEIPT!Q260</f>
        <v>0</v>
      </c>
      <c r="F260" s="3">
        <f>ISSUE!BC260</f>
        <v>0</v>
      </c>
      <c r="G260" s="3">
        <f t="shared" si="4"/>
        <v>4</v>
      </c>
    </row>
    <row r="261" spans="1:7" x14ac:dyDescent="0.25">
      <c r="A261" s="7">
        <v>260</v>
      </c>
      <c r="B261" s="3" t="str">
        <f>RECEIPT!B261</f>
        <v>COPPER THIMBLE 4 - 6 U TYPE</v>
      </c>
      <c r="C261" s="3" t="s">
        <v>7</v>
      </c>
      <c r="D261" s="3">
        <v>100</v>
      </c>
      <c r="E261" s="3">
        <f>RECEIPT!Q261</f>
        <v>0</v>
      </c>
      <c r="F261" s="3">
        <f>ISSUE!BC261</f>
        <v>0</v>
      </c>
      <c r="G261" s="3">
        <f t="shared" si="4"/>
        <v>100</v>
      </c>
    </row>
    <row r="262" spans="1:7" x14ac:dyDescent="0.25">
      <c r="A262" s="7">
        <v>261</v>
      </c>
      <c r="B262" s="3" t="str">
        <f>RECEIPT!B262</f>
        <v>COPPER THIMBLE 4 - 6 RING TYPE</v>
      </c>
      <c r="C262" s="3" t="s">
        <v>7</v>
      </c>
      <c r="D262" s="3">
        <v>170</v>
      </c>
      <c r="E262" s="3">
        <f>RECEIPT!Q262</f>
        <v>0</v>
      </c>
      <c r="F262" s="3">
        <f>ISSUE!BC262</f>
        <v>48</v>
      </c>
      <c r="G262" s="3">
        <f t="shared" si="4"/>
        <v>122</v>
      </c>
    </row>
    <row r="263" spans="1:7" x14ac:dyDescent="0.25">
      <c r="A263" s="7">
        <v>262</v>
      </c>
      <c r="B263" s="3" t="str">
        <f>RECEIPT!B263</f>
        <v>COPPER CABLE 4MM 4CORE</v>
      </c>
      <c r="C263" s="3" t="s">
        <v>7</v>
      </c>
      <c r="D263" s="3">
        <v>0</v>
      </c>
      <c r="E263" s="3">
        <f>RECEIPT!Q263</f>
        <v>0</v>
      </c>
      <c r="F263" s="3">
        <f>ISSUE!BC263</f>
        <v>0</v>
      </c>
      <c r="G263" s="3">
        <f t="shared" si="4"/>
        <v>0</v>
      </c>
    </row>
    <row r="264" spans="1:7" x14ac:dyDescent="0.25">
      <c r="A264" s="7">
        <v>263</v>
      </c>
      <c r="B264" s="3" t="str">
        <f>RECEIPT!B264</f>
        <v>CONTROL CONTACTOR 4A</v>
      </c>
      <c r="C264" s="3" t="s">
        <v>7</v>
      </c>
      <c r="D264" s="3">
        <v>4</v>
      </c>
      <c r="E264" s="3">
        <f>RECEIPT!Q264</f>
        <v>0</v>
      </c>
      <c r="F264" s="3">
        <f>ISSUE!BC264</f>
        <v>0</v>
      </c>
      <c r="G264" s="3">
        <f t="shared" si="4"/>
        <v>4</v>
      </c>
    </row>
    <row r="265" spans="1:7" x14ac:dyDescent="0.25">
      <c r="A265" s="7">
        <v>264</v>
      </c>
      <c r="B265" s="3" t="str">
        <f>RECEIPT!B265</f>
        <v>CONTACTOR MNX 140 L&amp; T</v>
      </c>
      <c r="C265" s="3" t="s">
        <v>7</v>
      </c>
      <c r="D265" s="3">
        <v>0</v>
      </c>
      <c r="E265" s="3">
        <f>RECEIPT!Q265</f>
        <v>2</v>
      </c>
      <c r="F265" s="3">
        <f>ISSUE!BC265</f>
        <v>2</v>
      </c>
      <c r="G265" s="3">
        <f t="shared" si="4"/>
        <v>0</v>
      </c>
    </row>
    <row r="266" spans="1:7" x14ac:dyDescent="0.25">
      <c r="A266" s="7">
        <v>265</v>
      </c>
      <c r="B266" s="3" t="str">
        <f>RECEIPT!B266</f>
        <v>CONTACTOR 9A</v>
      </c>
      <c r="C266" s="3" t="s">
        <v>7</v>
      </c>
      <c r="D266" s="3">
        <v>2</v>
      </c>
      <c r="E266" s="3">
        <f>RECEIPT!Q266</f>
        <v>0</v>
      </c>
      <c r="F266" s="3">
        <f>ISSUE!BC266</f>
        <v>0</v>
      </c>
      <c r="G266" s="3">
        <f t="shared" si="4"/>
        <v>2</v>
      </c>
    </row>
    <row r="267" spans="1:7" x14ac:dyDescent="0.25">
      <c r="A267" s="7">
        <v>266</v>
      </c>
      <c r="B267" s="3" t="str">
        <f>RECEIPT!B267</f>
        <v>CONTACTOR 80AMP/220V</v>
      </c>
      <c r="C267" s="3" t="s">
        <v>7</v>
      </c>
      <c r="D267" s="3">
        <v>1</v>
      </c>
      <c r="E267" s="3">
        <f>RECEIPT!Q267</f>
        <v>0</v>
      </c>
      <c r="F267" s="3">
        <f>ISSUE!BC267</f>
        <v>0</v>
      </c>
      <c r="G267" s="3">
        <f t="shared" si="4"/>
        <v>1</v>
      </c>
    </row>
    <row r="268" spans="1:7" x14ac:dyDescent="0.25">
      <c r="A268" s="7">
        <v>267</v>
      </c>
      <c r="B268" s="3" t="str">
        <f>RECEIPT!B268</f>
        <v>CONTACTOR 40A/240V</v>
      </c>
      <c r="C268" s="3" t="s">
        <v>7</v>
      </c>
      <c r="D268" s="3">
        <v>4</v>
      </c>
      <c r="E268" s="3">
        <f>RECEIPT!Q268</f>
        <v>0</v>
      </c>
      <c r="F268" s="3">
        <f>ISSUE!BC268</f>
        <v>1</v>
      </c>
      <c r="G268" s="3">
        <f t="shared" si="4"/>
        <v>3</v>
      </c>
    </row>
    <row r="269" spans="1:7" x14ac:dyDescent="0.25">
      <c r="A269" s="7">
        <v>268</v>
      </c>
      <c r="B269" s="3" t="str">
        <f>RECEIPT!B269</f>
        <v>CONTACTOR 32A</v>
      </c>
      <c r="C269" s="3" t="s">
        <v>7</v>
      </c>
      <c r="D269" s="3">
        <v>3</v>
      </c>
      <c r="E269" s="3">
        <f>RECEIPT!Q269</f>
        <v>0</v>
      </c>
      <c r="F269" s="3">
        <f>ISSUE!BC269</f>
        <v>0</v>
      </c>
      <c r="G269" s="3">
        <f t="shared" si="4"/>
        <v>3</v>
      </c>
    </row>
    <row r="270" spans="1:7" x14ac:dyDescent="0.25">
      <c r="A270" s="7">
        <v>269</v>
      </c>
      <c r="B270" s="3" t="str">
        <f>RECEIPT!B270</f>
        <v>CONTACTOR 25A</v>
      </c>
      <c r="C270" s="3" t="s">
        <v>7</v>
      </c>
      <c r="D270" s="3">
        <v>1</v>
      </c>
      <c r="E270" s="3">
        <f>RECEIPT!Q270</f>
        <v>0</v>
      </c>
      <c r="F270" s="3">
        <f>ISSUE!BC270</f>
        <v>0</v>
      </c>
      <c r="G270" s="3">
        <f t="shared" si="4"/>
        <v>1</v>
      </c>
    </row>
    <row r="271" spans="1:7" x14ac:dyDescent="0.25">
      <c r="A271" s="7">
        <v>270</v>
      </c>
      <c r="B271" s="3" t="str">
        <f>RECEIPT!B271</f>
        <v>CONTACTOR 18A</v>
      </c>
      <c r="C271" s="3" t="s">
        <v>7</v>
      </c>
      <c r="D271" s="3">
        <v>1</v>
      </c>
      <c r="E271" s="3">
        <f>RECEIPT!Q271</f>
        <v>0</v>
      </c>
      <c r="F271" s="3">
        <f>ISSUE!BC271</f>
        <v>0</v>
      </c>
      <c r="G271" s="3">
        <f t="shared" si="4"/>
        <v>1</v>
      </c>
    </row>
    <row r="272" spans="1:7" x14ac:dyDescent="0.25">
      <c r="A272" s="7">
        <v>271</v>
      </c>
      <c r="B272" s="3" t="str">
        <f>RECEIPT!B272</f>
        <v>CONTACTOR 12A</v>
      </c>
      <c r="C272" s="3" t="s">
        <v>7</v>
      </c>
      <c r="D272" s="3">
        <v>1</v>
      </c>
      <c r="E272" s="3">
        <f>RECEIPT!Q272</f>
        <v>0</v>
      </c>
      <c r="F272" s="3">
        <f>ISSUE!BC272</f>
        <v>0</v>
      </c>
      <c r="G272" s="3">
        <f t="shared" si="4"/>
        <v>1</v>
      </c>
    </row>
    <row r="273" spans="1:7" x14ac:dyDescent="0.25">
      <c r="A273" s="7">
        <v>272</v>
      </c>
      <c r="B273" s="3">
        <f>RECEIPT!B273</f>
        <v>0</v>
      </c>
      <c r="C273" s="3" t="s">
        <v>7</v>
      </c>
      <c r="D273" s="3">
        <v>0</v>
      </c>
      <c r="E273" s="3">
        <f>RECEIPT!Q273</f>
        <v>0</v>
      </c>
      <c r="F273" s="3">
        <f>ISSUE!BC273</f>
        <v>0</v>
      </c>
      <c r="G273" s="3">
        <f t="shared" si="4"/>
        <v>0</v>
      </c>
    </row>
    <row r="274" spans="1:7" x14ac:dyDescent="0.25">
      <c r="A274" s="7">
        <v>273</v>
      </c>
      <c r="B274" s="3" t="str">
        <f>RECEIPT!B274</f>
        <v>CLAMP METER</v>
      </c>
      <c r="C274" s="3" t="s">
        <v>7</v>
      </c>
      <c r="D274" s="3">
        <v>1</v>
      </c>
      <c r="E274" s="3">
        <f>RECEIPT!Q274</f>
        <v>0</v>
      </c>
      <c r="F274" s="3">
        <f>ISSUE!BC274</f>
        <v>1</v>
      </c>
      <c r="G274" s="3">
        <f t="shared" si="4"/>
        <v>0</v>
      </c>
    </row>
    <row r="275" spans="1:7" x14ac:dyDescent="0.25">
      <c r="A275" s="7">
        <v>274</v>
      </c>
      <c r="B275" s="3">
        <f>RECEIPT!B275</f>
        <v>0</v>
      </c>
      <c r="C275" s="3" t="s">
        <v>7</v>
      </c>
      <c r="D275" s="3">
        <v>0</v>
      </c>
      <c r="E275" s="3">
        <f>RECEIPT!Q275</f>
        <v>0</v>
      </c>
      <c r="F275" s="3">
        <f>ISSUE!BC275</f>
        <v>0</v>
      </c>
      <c r="G275" s="3">
        <f t="shared" si="4"/>
        <v>0</v>
      </c>
    </row>
    <row r="276" spans="1:7" x14ac:dyDescent="0.25">
      <c r="A276" s="7">
        <v>275</v>
      </c>
      <c r="B276" s="3">
        <f>RECEIPT!B276</f>
        <v>0</v>
      </c>
      <c r="C276" s="3" t="s">
        <v>7</v>
      </c>
      <c r="D276" s="3">
        <v>0</v>
      </c>
      <c r="E276" s="3">
        <f>RECEIPT!Q276</f>
        <v>0</v>
      </c>
      <c r="F276" s="3">
        <f>ISSUE!BC276</f>
        <v>0</v>
      </c>
      <c r="G276" s="3">
        <f t="shared" si="4"/>
        <v>0</v>
      </c>
    </row>
    <row r="277" spans="1:7" x14ac:dyDescent="0.25">
      <c r="A277" s="7">
        <v>276</v>
      </c>
      <c r="B277" s="3" t="str">
        <f>RECEIPT!B277</f>
        <v>CHANGE OVER 16A</v>
      </c>
      <c r="C277" s="3" t="s">
        <v>7</v>
      </c>
      <c r="D277" s="3">
        <v>1</v>
      </c>
      <c r="E277" s="3">
        <f>RECEIPT!Q277</f>
        <v>0</v>
      </c>
      <c r="F277" s="3">
        <f>ISSUE!BC277</f>
        <v>0</v>
      </c>
      <c r="G277" s="3">
        <f t="shared" si="4"/>
        <v>1</v>
      </c>
    </row>
    <row r="278" spans="1:7" x14ac:dyDescent="0.25">
      <c r="A278" s="7">
        <v>277</v>
      </c>
      <c r="B278" s="3" t="str">
        <f>RECEIPT!B278</f>
        <v>CHAIN 19.05X12.58X11.91</v>
      </c>
      <c r="C278" s="3" t="s">
        <v>7</v>
      </c>
      <c r="D278" s="3">
        <v>1</v>
      </c>
      <c r="E278" s="3">
        <f>RECEIPT!Q278</f>
        <v>0</v>
      </c>
      <c r="F278" s="3">
        <f>ISSUE!BC278</f>
        <v>0</v>
      </c>
      <c r="G278" s="3">
        <f t="shared" si="4"/>
        <v>1</v>
      </c>
    </row>
    <row r="279" spans="1:7" x14ac:dyDescent="0.25">
      <c r="A279" s="7">
        <v>278</v>
      </c>
      <c r="B279" s="3" t="str">
        <f>RECEIPT!B279</f>
        <v>CHAIN 19.05X11.68X12.07</v>
      </c>
      <c r="C279" s="3" t="s">
        <v>7</v>
      </c>
      <c r="D279" s="3">
        <v>1</v>
      </c>
      <c r="E279" s="3">
        <f>RECEIPT!Q279</f>
        <v>0</v>
      </c>
      <c r="F279" s="3">
        <f>ISSUE!BC279</f>
        <v>0</v>
      </c>
      <c r="G279" s="3">
        <f t="shared" si="4"/>
        <v>1</v>
      </c>
    </row>
    <row r="280" spans="1:7" x14ac:dyDescent="0.25">
      <c r="A280" s="7">
        <v>279</v>
      </c>
      <c r="B280" s="3" t="str">
        <f>RECEIPT!B280</f>
        <v>CHAIN 12.70X7.75X8.51</v>
      </c>
      <c r="C280" s="3" t="s">
        <v>7</v>
      </c>
      <c r="D280" s="3">
        <v>2</v>
      </c>
      <c r="E280" s="3">
        <f>RECEIPT!Q280</f>
        <v>0</v>
      </c>
      <c r="F280" s="3">
        <f>ISSUE!BC280</f>
        <v>0</v>
      </c>
      <c r="G280" s="3">
        <f t="shared" si="4"/>
        <v>2</v>
      </c>
    </row>
    <row r="281" spans="1:7" x14ac:dyDescent="0.25">
      <c r="A281" s="7">
        <v>280</v>
      </c>
      <c r="B281" s="3" t="str">
        <f>RECEIPT!B281</f>
        <v>CERAMIC HEATER</v>
      </c>
      <c r="C281" s="3" t="s">
        <v>7</v>
      </c>
      <c r="D281" s="3">
        <v>6</v>
      </c>
      <c r="E281" s="3">
        <f>RECEIPT!Q281</f>
        <v>0</v>
      </c>
      <c r="F281" s="3">
        <f>ISSUE!BC281</f>
        <v>1</v>
      </c>
      <c r="G281" s="3">
        <f t="shared" si="4"/>
        <v>5</v>
      </c>
    </row>
    <row r="282" spans="1:7" x14ac:dyDescent="0.25">
      <c r="A282" s="7">
        <v>281</v>
      </c>
      <c r="B282" s="3" t="str">
        <f>RECEIPT!B282</f>
        <v>CARD CONNECTOR</v>
      </c>
      <c r="C282" s="3" t="s">
        <v>7</v>
      </c>
      <c r="D282" s="3">
        <v>10</v>
      </c>
      <c r="E282" s="3">
        <f>RECEIPT!Q282</f>
        <v>0</v>
      </c>
      <c r="F282" s="3">
        <f>ISSUE!BC282</f>
        <v>0</v>
      </c>
      <c r="G282" s="3">
        <f t="shared" si="4"/>
        <v>10</v>
      </c>
    </row>
    <row r="283" spans="1:7" x14ac:dyDescent="0.25">
      <c r="A283" s="7">
        <v>282</v>
      </c>
      <c r="B283" s="3" t="str">
        <f>RECEIPT!B283</f>
        <v>CARBON BRUSH</v>
      </c>
      <c r="C283" s="3" t="s">
        <v>7</v>
      </c>
      <c r="D283" s="3">
        <v>6</v>
      </c>
      <c r="E283" s="3">
        <f>RECEIPT!Q283</f>
        <v>0</v>
      </c>
      <c r="F283" s="3">
        <f>ISSUE!BC283</f>
        <v>0</v>
      </c>
      <c r="G283" s="3">
        <f t="shared" si="4"/>
        <v>6</v>
      </c>
    </row>
    <row r="284" spans="1:7" x14ac:dyDescent="0.25">
      <c r="A284" s="7">
        <v>283</v>
      </c>
      <c r="B284" s="3" t="str">
        <f>RECEIPT!B284</f>
        <v>CAPACITOR 6 MFD EP</v>
      </c>
      <c r="C284" s="3" t="s">
        <v>7</v>
      </c>
      <c r="D284" s="3">
        <v>0</v>
      </c>
      <c r="E284" s="3">
        <f>RECEIPT!Q284</f>
        <v>2</v>
      </c>
      <c r="F284" s="3">
        <f>ISSUE!BC284</f>
        <v>1</v>
      </c>
      <c r="G284" s="3">
        <f t="shared" si="4"/>
        <v>1</v>
      </c>
    </row>
    <row r="285" spans="1:7" x14ac:dyDescent="0.25">
      <c r="A285" s="7">
        <v>284</v>
      </c>
      <c r="B285" s="3" t="str">
        <f>RECEIPT!B285</f>
        <v>CAPACITOR 4 MFD EP</v>
      </c>
      <c r="C285" s="3" t="s">
        <v>7</v>
      </c>
      <c r="D285" s="3">
        <v>8</v>
      </c>
      <c r="E285" s="3">
        <f>RECEIPT!Q285</f>
        <v>0</v>
      </c>
      <c r="F285" s="3">
        <f>ISSUE!BC285</f>
        <v>4</v>
      </c>
      <c r="G285" s="3">
        <f t="shared" si="4"/>
        <v>4</v>
      </c>
    </row>
    <row r="286" spans="1:7" x14ac:dyDescent="0.25">
      <c r="A286" s="7">
        <v>285</v>
      </c>
      <c r="B286" s="3" t="str">
        <f>RECEIPT!B286</f>
        <v>CAPACITOR 3.25MFD</v>
      </c>
      <c r="C286" s="3" t="s">
        <v>7</v>
      </c>
      <c r="D286" s="3">
        <v>3</v>
      </c>
      <c r="E286" s="3">
        <f>RECEIPT!Q286</f>
        <v>0</v>
      </c>
      <c r="F286" s="3">
        <f>ISSUE!BC286</f>
        <v>0</v>
      </c>
      <c r="G286" s="3">
        <f t="shared" si="4"/>
        <v>3</v>
      </c>
    </row>
    <row r="287" spans="1:7" x14ac:dyDescent="0.25">
      <c r="A287" s="7">
        <v>286</v>
      </c>
      <c r="B287" s="3" t="str">
        <f>RECEIPT!B287</f>
        <v>CAPACITOR 2.5MFD</v>
      </c>
      <c r="C287" s="3" t="s">
        <v>7</v>
      </c>
      <c r="D287" s="3">
        <v>2</v>
      </c>
      <c r="E287" s="3">
        <f>RECEIPT!Q287</f>
        <v>0</v>
      </c>
      <c r="F287" s="3">
        <f>ISSUE!BC287</f>
        <v>0</v>
      </c>
      <c r="G287" s="3">
        <f t="shared" si="4"/>
        <v>2</v>
      </c>
    </row>
    <row r="288" spans="1:7" x14ac:dyDescent="0.25">
      <c r="A288" s="7">
        <v>287</v>
      </c>
      <c r="B288" s="3" t="str">
        <f>RECEIPT!B288</f>
        <v>CAPACITOR 150/200 MFD</v>
      </c>
      <c r="C288" s="3" t="s">
        <v>7</v>
      </c>
      <c r="D288" s="3">
        <v>1</v>
      </c>
      <c r="E288" s="3">
        <f>RECEIPT!Q288</f>
        <v>0</v>
      </c>
      <c r="F288" s="3">
        <f>ISSUE!BC288</f>
        <v>0</v>
      </c>
      <c r="G288" s="3">
        <f t="shared" si="4"/>
        <v>1</v>
      </c>
    </row>
    <row r="289" spans="1:7" x14ac:dyDescent="0.25">
      <c r="A289" s="7">
        <v>288</v>
      </c>
      <c r="B289" s="3" t="str">
        <f>RECEIPT!B289</f>
        <v>CAPACITOR 12MFD</v>
      </c>
      <c r="C289" s="3" t="s">
        <v>7</v>
      </c>
      <c r="D289" s="3">
        <v>4</v>
      </c>
      <c r="E289" s="3">
        <f>RECEIPT!Q289</f>
        <v>0</v>
      </c>
      <c r="F289" s="3">
        <f>ISSUE!BC289</f>
        <v>1</v>
      </c>
      <c r="G289" s="3">
        <f t="shared" si="4"/>
        <v>3</v>
      </c>
    </row>
    <row r="290" spans="1:7" x14ac:dyDescent="0.25">
      <c r="A290" s="7">
        <v>289</v>
      </c>
      <c r="B290" s="3" t="str">
        <f>RECEIPT!B290</f>
        <v>CABLE TIE 300MM</v>
      </c>
      <c r="C290" s="3" t="s">
        <v>7</v>
      </c>
      <c r="D290" s="3">
        <v>100</v>
      </c>
      <c r="E290" s="3">
        <f>RECEIPT!Q290</f>
        <v>0</v>
      </c>
      <c r="F290" s="3">
        <f>ISSUE!BC290</f>
        <v>100</v>
      </c>
      <c r="G290" s="3">
        <f t="shared" si="4"/>
        <v>0</v>
      </c>
    </row>
    <row r="291" spans="1:7" x14ac:dyDescent="0.25">
      <c r="A291" s="7">
        <v>290</v>
      </c>
      <c r="B291" s="3" t="str">
        <f>RECEIPT!B291</f>
        <v>CABLE TIE 250MM</v>
      </c>
      <c r="C291" s="3" t="s">
        <v>7</v>
      </c>
      <c r="D291" s="3">
        <v>200</v>
      </c>
      <c r="E291" s="3">
        <f>RECEIPT!Q291</f>
        <v>0</v>
      </c>
      <c r="F291" s="3">
        <f>ISSUE!BC291</f>
        <v>0</v>
      </c>
      <c r="G291" s="3">
        <f t="shared" si="4"/>
        <v>200</v>
      </c>
    </row>
    <row r="292" spans="1:7" x14ac:dyDescent="0.25">
      <c r="A292" s="7">
        <v>291</v>
      </c>
      <c r="B292" s="3" t="str">
        <f>RECEIPT!B292</f>
        <v>CABLE TIE 200MM</v>
      </c>
      <c r="C292" s="3" t="s">
        <v>7</v>
      </c>
      <c r="D292" s="3">
        <v>100</v>
      </c>
      <c r="E292" s="3">
        <f>RECEIPT!Q292</f>
        <v>0</v>
      </c>
      <c r="F292" s="3">
        <f>ISSUE!BC292</f>
        <v>0</v>
      </c>
      <c r="G292" s="3">
        <f t="shared" si="4"/>
        <v>100</v>
      </c>
    </row>
    <row r="293" spans="1:7" x14ac:dyDescent="0.25">
      <c r="A293" s="7">
        <v>292</v>
      </c>
      <c r="B293" s="3" t="str">
        <f>RECEIPT!B293</f>
        <v>CABLE 1.5MM 2CORE</v>
      </c>
      <c r="C293" s="3" t="s">
        <v>7</v>
      </c>
      <c r="D293" s="3">
        <v>0</v>
      </c>
      <c r="E293" s="3">
        <f>RECEIPT!Q293</f>
        <v>0</v>
      </c>
      <c r="F293" s="3">
        <f>ISSUE!BC293</f>
        <v>0</v>
      </c>
      <c r="G293" s="3">
        <f t="shared" si="4"/>
        <v>0</v>
      </c>
    </row>
    <row r="294" spans="1:7" x14ac:dyDescent="0.25">
      <c r="A294" s="7">
        <v>293</v>
      </c>
      <c r="B294" s="3" t="str">
        <f>RECEIPT!B294</f>
        <v>BUZZER 92 X 92</v>
      </c>
      <c r="C294" s="3" t="s">
        <v>7</v>
      </c>
      <c r="D294" s="3">
        <v>5</v>
      </c>
      <c r="E294" s="3">
        <f>RECEIPT!Q294</f>
        <v>0</v>
      </c>
      <c r="F294" s="3">
        <f>ISSUE!BC294</f>
        <v>1</v>
      </c>
      <c r="G294" s="3">
        <f t="shared" si="4"/>
        <v>4</v>
      </c>
    </row>
    <row r="295" spans="1:7" x14ac:dyDescent="0.25">
      <c r="A295" s="7">
        <v>294</v>
      </c>
      <c r="B295" s="3" t="str">
        <f>RECEIPT!B295</f>
        <v>BUZZER 72 X 72</v>
      </c>
      <c r="C295" s="3" t="s">
        <v>7</v>
      </c>
      <c r="D295" s="3">
        <v>4</v>
      </c>
      <c r="E295" s="3">
        <f>RECEIPT!Q295</f>
        <v>0</v>
      </c>
      <c r="F295" s="3">
        <f>ISSUE!BC295</f>
        <v>0</v>
      </c>
      <c r="G295" s="3">
        <f t="shared" si="4"/>
        <v>4</v>
      </c>
    </row>
    <row r="296" spans="1:7" x14ac:dyDescent="0.25">
      <c r="A296" s="7">
        <v>295</v>
      </c>
      <c r="B296" s="3" t="str">
        <f>RECEIPT!B296</f>
        <v>BUTTER FLY VALVE 65MM</v>
      </c>
      <c r="C296" s="3" t="s">
        <v>7</v>
      </c>
      <c r="D296" s="3">
        <v>3</v>
      </c>
      <c r="E296" s="3">
        <f>RECEIPT!Q296</f>
        <v>0</v>
      </c>
      <c r="F296" s="3">
        <f>ISSUE!BC296</f>
        <v>0</v>
      </c>
      <c r="G296" s="3">
        <f t="shared" si="4"/>
        <v>3</v>
      </c>
    </row>
    <row r="297" spans="1:7" x14ac:dyDescent="0.25">
      <c r="A297" s="7">
        <v>296</v>
      </c>
      <c r="B297" s="3" t="str">
        <f>RECEIPT!B297</f>
        <v>BUFFING WHEEL 4"</v>
      </c>
      <c r="C297" s="3" t="s">
        <v>7</v>
      </c>
      <c r="D297" s="3">
        <v>2</v>
      </c>
      <c r="E297" s="3">
        <f>RECEIPT!Q297</f>
        <v>0</v>
      </c>
      <c r="F297" s="3">
        <f>ISSUE!BC297</f>
        <v>0</v>
      </c>
      <c r="G297" s="3">
        <f t="shared" si="4"/>
        <v>2</v>
      </c>
    </row>
    <row r="298" spans="1:7" x14ac:dyDescent="0.25">
      <c r="A298" s="7">
        <v>297</v>
      </c>
      <c r="B298" s="3" t="str">
        <f>RECEIPT!B298</f>
        <v>BRASS HYDRAULIC NIPPLE 1/2" X 3/4"</v>
      </c>
      <c r="C298" s="3" t="s">
        <v>7</v>
      </c>
      <c r="D298" s="3">
        <v>18</v>
      </c>
      <c r="E298" s="3">
        <f>RECEIPT!Q298</f>
        <v>0</v>
      </c>
      <c r="F298" s="3">
        <f>ISSUE!BC298</f>
        <v>7</v>
      </c>
      <c r="G298" s="3">
        <f t="shared" si="4"/>
        <v>11</v>
      </c>
    </row>
    <row r="299" spans="1:7" x14ac:dyDescent="0.25">
      <c r="A299" s="7">
        <v>298</v>
      </c>
      <c r="B299" s="3" t="str">
        <f>RECEIPT!B299</f>
        <v>BRASS HYDRAULIC NIPPLE 1/2"</v>
      </c>
      <c r="C299" s="3" t="s">
        <v>7</v>
      </c>
      <c r="D299" s="3">
        <v>18</v>
      </c>
      <c r="E299" s="3">
        <f>RECEIPT!Q299</f>
        <v>0</v>
      </c>
      <c r="F299" s="3">
        <f>ISSUE!BC299</f>
        <v>10</v>
      </c>
      <c r="G299" s="3">
        <f t="shared" si="4"/>
        <v>8</v>
      </c>
    </row>
    <row r="300" spans="1:7" x14ac:dyDescent="0.25">
      <c r="A300" s="7">
        <v>299</v>
      </c>
      <c r="B300" s="3" t="str">
        <f>RECEIPT!B300</f>
        <v>BRASS FITTING 1/4" X 10</v>
      </c>
      <c r="C300" s="3" t="s">
        <v>7</v>
      </c>
      <c r="D300" s="3">
        <v>2</v>
      </c>
      <c r="E300" s="3">
        <f>RECEIPT!Q300</f>
        <v>0</v>
      </c>
      <c r="F300" s="3">
        <f>ISSUE!BC300</f>
        <v>0</v>
      </c>
      <c r="G300" s="3">
        <f t="shared" si="4"/>
        <v>2</v>
      </c>
    </row>
    <row r="301" spans="1:7" x14ac:dyDescent="0.25">
      <c r="A301" s="7">
        <v>300</v>
      </c>
      <c r="B301" s="3" t="str">
        <f>RECEIPT!B301</f>
        <v>BRASS FITTING 1/2" X 12</v>
      </c>
      <c r="C301" s="3" t="s">
        <v>7</v>
      </c>
      <c r="D301" s="3">
        <v>7</v>
      </c>
      <c r="E301" s="3">
        <f>RECEIPT!Q301</f>
        <v>0</v>
      </c>
      <c r="F301" s="3">
        <f>ISSUE!BC301</f>
        <v>0</v>
      </c>
      <c r="G301" s="3">
        <f t="shared" si="4"/>
        <v>7</v>
      </c>
    </row>
    <row r="302" spans="1:7" x14ac:dyDescent="0.25">
      <c r="A302" s="7">
        <v>301</v>
      </c>
      <c r="B302" s="3" t="str">
        <f>RECEIPT!B302</f>
        <v>BRASS FITTING 1/2" X 10</v>
      </c>
      <c r="C302" s="3" t="s">
        <v>7</v>
      </c>
      <c r="D302" s="3">
        <v>8</v>
      </c>
      <c r="E302" s="3">
        <f>RECEIPT!Q302</f>
        <v>0</v>
      </c>
      <c r="F302" s="3">
        <f>ISSUE!BC302</f>
        <v>0</v>
      </c>
      <c r="G302" s="3">
        <f t="shared" si="4"/>
        <v>8</v>
      </c>
    </row>
    <row r="303" spans="1:7" x14ac:dyDescent="0.25">
      <c r="A303" s="7">
        <v>302</v>
      </c>
      <c r="B303" s="3" t="str">
        <f>RECEIPT!B303</f>
        <v>BRASS BUSH 1/2" X 3/8"</v>
      </c>
      <c r="C303" s="3" t="s">
        <v>7</v>
      </c>
      <c r="D303" s="3">
        <v>5</v>
      </c>
      <c r="E303" s="3">
        <f>RECEIPT!Q303</f>
        <v>0</v>
      </c>
      <c r="F303" s="3">
        <f>ISSUE!BC303</f>
        <v>0</v>
      </c>
      <c r="G303" s="3">
        <f t="shared" si="4"/>
        <v>5</v>
      </c>
    </row>
    <row r="304" spans="1:7" x14ac:dyDescent="0.25">
      <c r="A304" s="7">
        <v>303</v>
      </c>
      <c r="B304" s="3" t="str">
        <f>RECEIPT!B304</f>
        <v>BRASS BALL VALVE 1/2"</v>
      </c>
      <c r="C304" s="3" t="s">
        <v>7</v>
      </c>
      <c r="D304" s="3">
        <v>4</v>
      </c>
      <c r="E304" s="3">
        <f>RECEIPT!Q304</f>
        <v>4</v>
      </c>
      <c r="F304" s="3">
        <f>ISSUE!BC304</f>
        <v>4</v>
      </c>
      <c r="G304" s="3">
        <f t="shared" si="4"/>
        <v>4</v>
      </c>
    </row>
    <row r="305" spans="1:7" x14ac:dyDescent="0.25">
      <c r="A305" s="7">
        <v>304</v>
      </c>
      <c r="B305" s="3" t="str">
        <f>RECEIPT!B305</f>
        <v>BRACKET 209</v>
      </c>
      <c r="C305" s="3" t="s">
        <v>7</v>
      </c>
      <c r="D305" s="3">
        <v>1</v>
      </c>
      <c r="E305" s="3">
        <f>RECEIPT!Q305</f>
        <v>0</v>
      </c>
      <c r="F305" s="3">
        <f>ISSUE!BC305</f>
        <v>0</v>
      </c>
      <c r="G305" s="3">
        <f t="shared" si="4"/>
        <v>1</v>
      </c>
    </row>
    <row r="306" spans="1:7" x14ac:dyDescent="0.25">
      <c r="A306" s="7">
        <v>305</v>
      </c>
      <c r="B306" s="3" t="str">
        <f>RECEIPT!B306</f>
        <v>BOTTLE FUSE 4A</v>
      </c>
      <c r="C306" s="3" t="s">
        <v>7</v>
      </c>
      <c r="D306" s="3">
        <v>12</v>
      </c>
      <c r="E306" s="3">
        <f>RECEIPT!Q306</f>
        <v>0</v>
      </c>
      <c r="F306" s="3">
        <f>ISSUE!BC306</f>
        <v>0</v>
      </c>
      <c r="G306" s="3">
        <f t="shared" si="4"/>
        <v>12</v>
      </c>
    </row>
    <row r="307" spans="1:7" x14ac:dyDescent="0.25">
      <c r="A307" s="7">
        <v>306</v>
      </c>
      <c r="B307" s="3" t="str">
        <f>RECEIPT!B307</f>
        <v>BOTTLE FUSE 10A</v>
      </c>
      <c r="C307" s="3" t="s">
        <v>7</v>
      </c>
      <c r="D307" s="3">
        <v>18</v>
      </c>
      <c r="E307" s="3">
        <f>RECEIPT!Q307</f>
        <v>0</v>
      </c>
      <c r="F307" s="3">
        <f>ISSUE!BC307</f>
        <v>0</v>
      </c>
      <c r="G307" s="3">
        <f t="shared" si="4"/>
        <v>18</v>
      </c>
    </row>
    <row r="308" spans="1:7" x14ac:dyDescent="0.25">
      <c r="A308" s="7">
        <v>307</v>
      </c>
      <c r="B308" s="3" t="str">
        <f>RECEIPT!B308</f>
        <v>BED SWITCH 6A</v>
      </c>
      <c r="C308" s="3" t="s">
        <v>7</v>
      </c>
      <c r="D308" s="3">
        <v>10</v>
      </c>
      <c r="E308" s="3">
        <f>RECEIPT!Q308</f>
        <v>0</v>
      </c>
      <c r="F308" s="3">
        <f>ISSUE!BC308</f>
        <v>0</v>
      </c>
      <c r="G308" s="3">
        <f t="shared" si="4"/>
        <v>10</v>
      </c>
    </row>
    <row r="309" spans="1:7" x14ac:dyDescent="0.25">
      <c r="A309" s="7">
        <v>308</v>
      </c>
      <c r="B309" s="3" t="str">
        <f>RECEIPT!B309</f>
        <v>BEARING UFCL 204</v>
      </c>
      <c r="C309" s="3" t="s">
        <v>7</v>
      </c>
      <c r="D309" s="3">
        <v>2</v>
      </c>
      <c r="E309" s="3">
        <f>RECEIPT!Q309</f>
        <v>0</v>
      </c>
      <c r="F309" s="3">
        <f>ISSUE!BC309</f>
        <v>0</v>
      </c>
      <c r="G309" s="3">
        <f t="shared" si="4"/>
        <v>2</v>
      </c>
    </row>
    <row r="310" spans="1:7" x14ac:dyDescent="0.25">
      <c r="A310" s="7">
        <v>309</v>
      </c>
      <c r="B310" s="3" t="str">
        <f>RECEIPT!B310</f>
        <v>BEARING UCP 206</v>
      </c>
      <c r="C310" s="3" t="s">
        <v>7</v>
      </c>
      <c r="D310" s="3">
        <v>1</v>
      </c>
      <c r="E310" s="3">
        <f>RECEIPT!Q310</f>
        <v>0</v>
      </c>
      <c r="F310" s="3">
        <f>ISSUE!BC310</f>
        <v>0</v>
      </c>
      <c r="G310" s="3">
        <f t="shared" si="4"/>
        <v>1</v>
      </c>
    </row>
    <row r="311" spans="1:7" x14ac:dyDescent="0.25">
      <c r="A311" s="7">
        <v>310</v>
      </c>
      <c r="B311" s="3" t="str">
        <f>RECEIPT!B311</f>
        <v>BEARING UCFL 205</v>
      </c>
      <c r="C311" s="3" t="s">
        <v>7</v>
      </c>
      <c r="D311" s="3">
        <v>1</v>
      </c>
      <c r="E311" s="3">
        <f>RECEIPT!Q311</f>
        <v>0</v>
      </c>
      <c r="F311" s="3">
        <f>ISSUE!BC311</f>
        <v>0</v>
      </c>
      <c r="G311" s="3">
        <f t="shared" si="4"/>
        <v>1</v>
      </c>
    </row>
    <row r="312" spans="1:7" x14ac:dyDescent="0.25">
      <c r="A312" s="7">
        <v>311</v>
      </c>
      <c r="B312" s="3" t="str">
        <f>RECEIPT!B312</f>
        <v>BEARING UC 212</v>
      </c>
      <c r="C312" s="3" t="s">
        <v>7</v>
      </c>
      <c r="D312" s="3">
        <v>2</v>
      </c>
      <c r="E312" s="3">
        <f>RECEIPT!Q312</f>
        <v>2</v>
      </c>
      <c r="F312" s="3">
        <v>1</v>
      </c>
      <c r="G312" s="3">
        <f t="shared" si="4"/>
        <v>3</v>
      </c>
    </row>
    <row r="313" spans="1:7" x14ac:dyDescent="0.25">
      <c r="A313" s="7">
        <v>312</v>
      </c>
      <c r="B313" s="3" t="str">
        <f>RECEIPT!B313</f>
        <v>BEARING UC 211</v>
      </c>
      <c r="C313" s="3" t="s">
        <v>7</v>
      </c>
      <c r="D313" s="3">
        <v>2</v>
      </c>
      <c r="E313" s="3">
        <f>RECEIPT!Q313</f>
        <v>2</v>
      </c>
      <c r="F313" s="3">
        <f>ISSUE!BC313</f>
        <v>0</v>
      </c>
      <c r="G313" s="3">
        <f t="shared" si="4"/>
        <v>4</v>
      </c>
    </row>
    <row r="314" spans="1:7" x14ac:dyDescent="0.25">
      <c r="A314" s="7">
        <v>313</v>
      </c>
      <c r="B314" s="3" t="str">
        <f>RECEIPT!B314</f>
        <v>BEARING UC 210</v>
      </c>
      <c r="C314" s="3" t="s">
        <v>7</v>
      </c>
      <c r="D314" s="3">
        <v>2</v>
      </c>
      <c r="E314" s="3">
        <f>RECEIPT!Q314</f>
        <v>0</v>
      </c>
      <c r="F314" s="3">
        <f>ISSUE!BC314</f>
        <v>0</v>
      </c>
      <c r="G314" s="3">
        <f t="shared" si="4"/>
        <v>2</v>
      </c>
    </row>
    <row r="315" spans="1:7" x14ac:dyDescent="0.25">
      <c r="A315" s="7">
        <v>314</v>
      </c>
      <c r="B315" s="3" t="str">
        <f>RECEIPT!B315</f>
        <v>BEARING UC 209</v>
      </c>
      <c r="C315" s="3" t="s">
        <v>7</v>
      </c>
      <c r="D315" s="3">
        <v>3</v>
      </c>
      <c r="E315" s="3">
        <f>RECEIPT!Q315</f>
        <v>0</v>
      </c>
      <c r="F315" s="3">
        <f>ISSUE!BC315</f>
        <v>0</v>
      </c>
      <c r="G315" s="3">
        <f t="shared" si="4"/>
        <v>3</v>
      </c>
    </row>
    <row r="316" spans="1:7" x14ac:dyDescent="0.25">
      <c r="A316" s="7">
        <v>315</v>
      </c>
      <c r="B316" s="3" t="str">
        <f>RECEIPT!B316</f>
        <v>BEARING UC 208</v>
      </c>
      <c r="C316" s="3" t="s">
        <v>7</v>
      </c>
      <c r="D316" s="3">
        <v>1</v>
      </c>
      <c r="E316" s="3">
        <f>RECEIPT!Q316</f>
        <v>7</v>
      </c>
      <c r="F316" s="3">
        <f>ISSUE!BC316</f>
        <v>4</v>
      </c>
      <c r="G316" s="3">
        <f t="shared" si="4"/>
        <v>4</v>
      </c>
    </row>
    <row r="317" spans="1:7" x14ac:dyDescent="0.25">
      <c r="A317" s="7">
        <v>316</v>
      </c>
      <c r="B317" s="3" t="str">
        <f>RECEIPT!B317</f>
        <v>BEARING UC 207</v>
      </c>
      <c r="C317" s="3" t="s">
        <v>7</v>
      </c>
      <c r="D317" s="3">
        <v>3</v>
      </c>
      <c r="E317" s="3">
        <f>RECEIPT!Q317</f>
        <v>0</v>
      </c>
      <c r="F317" s="3">
        <f>ISSUE!BC317</f>
        <v>0</v>
      </c>
      <c r="G317" s="3">
        <f t="shared" si="4"/>
        <v>3</v>
      </c>
    </row>
    <row r="318" spans="1:7" x14ac:dyDescent="0.25">
      <c r="A318" s="7">
        <v>317</v>
      </c>
      <c r="B318" s="3" t="str">
        <f>RECEIPT!B318</f>
        <v>BEARING UC 206</v>
      </c>
      <c r="C318" s="3" t="s">
        <v>7</v>
      </c>
      <c r="D318" s="3">
        <v>1</v>
      </c>
      <c r="E318" s="3">
        <f>RECEIPT!Q318</f>
        <v>6</v>
      </c>
      <c r="F318" s="3">
        <f>ISSUE!BC318</f>
        <v>1</v>
      </c>
      <c r="G318" s="3">
        <f t="shared" si="4"/>
        <v>6</v>
      </c>
    </row>
    <row r="319" spans="1:7" x14ac:dyDescent="0.25">
      <c r="A319" s="7">
        <v>318</v>
      </c>
      <c r="B319" s="3" t="str">
        <f>RECEIPT!B319</f>
        <v>BEARING UC 204</v>
      </c>
      <c r="C319" s="3" t="s">
        <v>7</v>
      </c>
      <c r="D319" s="3">
        <v>5</v>
      </c>
      <c r="E319" s="3">
        <f>RECEIPT!Q319</f>
        <v>0</v>
      </c>
      <c r="F319" s="3">
        <f>ISSUE!BC319</f>
        <v>0</v>
      </c>
      <c r="G319" s="3">
        <f t="shared" si="4"/>
        <v>5</v>
      </c>
    </row>
    <row r="320" spans="1:7" x14ac:dyDescent="0.25">
      <c r="A320" s="7">
        <v>319</v>
      </c>
      <c r="B320" s="3" t="str">
        <f>RECEIPT!B320</f>
        <v>BEARING T BRACKET 206</v>
      </c>
      <c r="C320" s="3" t="s">
        <v>7</v>
      </c>
      <c r="D320" s="3">
        <v>5</v>
      </c>
      <c r="E320" s="3">
        <f>RECEIPT!Q320</f>
        <v>0</v>
      </c>
      <c r="F320" s="3">
        <f>ISSUE!BC320</f>
        <v>0</v>
      </c>
      <c r="G320" s="3">
        <f t="shared" si="4"/>
        <v>5</v>
      </c>
    </row>
    <row r="321" spans="1:7" x14ac:dyDescent="0.25">
      <c r="A321" s="7">
        <v>320</v>
      </c>
      <c r="B321" s="3" t="str">
        <f>RECEIPT!B321</f>
        <v>BEARING S 210</v>
      </c>
      <c r="C321" s="3" t="s">
        <v>7</v>
      </c>
      <c r="D321" s="3">
        <v>2</v>
      </c>
      <c r="E321" s="3">
        <f>RECEIPT!Q321</f>
        <v>0</v>
      </c>
      <c r="F321" s="3">
        <f>ISSUE!BC321</f>
        <v>0</v>
      </c>
      <c r="G321" s="3">
        <f t="shared" si="4"/>
        <v>2</v>
      </c>
    </row>
    <row r="322" spans="1:7" x14ac:dyDescent="0.25">
      <c r="A322" s="7">
        <v>321</v>
      </c>
      <c r="B322" s="3" t="str">
        <f>RECEIPT!B322</f>
        <v>BEARING P212</v>
      </c>
      <c r="C322" s="3" t="s">
        <v>7</v>
      </c>
      <c r="D322" s="3">
        <v>2</v>
      </c>
      <c r="E322" s="3">
        <f>RECEIPT!Q322</f>
        <v>0</v>
      </c>
      <c r="F322" s="3">
        <f>ISSUE!BC322</f>
        <v>0</v>
      </c>
      <c r="G322" s="3">
        <f t="shared" si="4"/>
        <v>2</v>
      </c>
    </row>
    <row r="323" spans="1:7" x14ac:dyDescent="0.25">
      <c r="A323" s="7">
        <v>322</v>
      </c>
      <c r="B323" s="3" t="str">
        <f>RECEIPT!B323</f>
        <v>BEARING NU218</v>
      </c>
      <c r="C323" s="3" t="s">
        <v>7</v>
      </c>
      <c r="D323" s="3">
        <v>2</v>
      </c>
      <c r="E323" s="3">
        <f>RECEIPT!Q323</f>
        <v>0</v>
      </c>
      <c r="F323" s="3">
        <f>ISSUE!BC323</f>
        <v>0</v>
      </c>
      <c r="G323" s="3">
        <f t="shared" ref="G323:G386" si="5">+D323+E323-F323</f>
        <v>2</v>
      </c>
    </row>
    <row r="324" spans="1:7" x14ac:dyDescent="0.25">
      <c r="A324" s="7">
        <v>323</v>
      </c>
      <c r="B324" s="3" t="str">
        <f>RECEIPT!B324</f>
        <v>BEARING LMK 25UU</v>
      </c>
      <c r="C324" s="3" t="s">
        <v>7</v>
      </c>
      <c r="D324" s="3">
        <v>4</v>
      </c>
      <c r="E324" s="3">
        <f>RECEIPT!Q324</f>
        <v>0</v>
      </c>
      <c r="F324" s="3">
        <f>ISSUE!BC324</f>
        <v>0</v>
      </c>
      <c r="G324" s="3">
        <f t="shared" si="5"/>
        <v>4</v>
      </c>
    </row>
    <row r="325" spans="1:7" x14ac:dyDescent="0.25">
      <c r="A325" s="7">
        <v>324</v>
      </c>
      <c r="B325" s="3" t="str">
        <f>RECEIPT!B325</f>
        <v>BEARING LMK 25LUU</v>
      </c>
      <c r="C325" s="3" t="s">
        <v>7</v>
      </c>
      <c r="D325" s="3">
        <v>4</v>
      </c>
      <c r="E325" s="3">
        <f>RECEIPT!Q325</f>
        <v>0</v>
      </c>
      <c r="F325" s="3">
        <f>ISSUE!BC325</f>
        <v>0</v>
      </c>
      <c r="G325" s="3">
        <f t="shared" si="5"/>
        <v>4</v>
      </c>
    </row>
    <row r="326" spans="1:7" x14ac:dyDescent="0.25">
      <c r="A326" s="7">
        <v>325</v>
      </c>
      <c r="B326" s="3" t="str">
        <f>RECEIPT!B326</f>
        <v>BEARING LMEK 20UU</v>
      </c>
      <c r="C326" s="3" t="s">
        <v>7</v>
      </c>
      <c r="D326" s="3">
        <v>1</v>
      </c>
      <c r="E326" s="3">
        <f>RECEIPT!Q326</f>
        <v>0</v>
      </c>
      <c r="F326" s="3">
        <f>ISSUE!BC326</f>
        <v>0</v>
      </c>
      <c r="G326" s="3">
        <f t="shared" si="5"/>
        <v>1</v>
      </c>
    </row>
    <row r="327" spans="1:7" x14ac:dyDescent="0.25">
      <c r="A327" s="7">
        <v>326</v>
      </c>
      <c r="B327" s="3" t="str">
        <f>RECEIPT!B327</f>
        <v>BEARING FC211</v>
      </c>
      <c r="C327" s="3" t="s">
        <v>7</v>
      </c>
      <c r="D327" s="3">
        <v>2</v>
      </c>
      <c r="E327" s="3">
        <f>RECEIPT!Q327</f>
        <v>0</v>
      </c>
      <c r="F327" s="3">
        <f>ISSUE!BC327</f>
        <v>0</v>
      </c>
      <c r="G327" s="3">
        <f t="shared" si="5"/>
        <v>2</v>
      </c>
    </row>
    <row r="328" spans="1:7" x14ac:dyDescent="0.25">
      <c r="A328" s="7">
        <v>327</v>
      </c>
      <c r="B328" s="3" t="str">
        <f>RECEIPT!B328</f>
        <v>BEARING F212</v>
      </c>
      <c r="C328" s="3" t="s">
        <v>7</v>
      </c>
      <c r="D328" s="3">
        <v>3</v>
      </c>
      <c r="E328" s="3">
        <f>RECEIPT!Q328</f>
        <v>0</v>
      </c>
      <c r="F328" s="3">
        <f>ISSUE!BC328</f>
        <v>0</v>
      </c>
      <c r="G328" s="3">
        <f t="shared" si="5"/>
        <v>3</v>
      </c>
    </row>
    <row r="329" spans="1:7" x14ac:dyDescent="0.25">
      <c r="A329" s="7">
        <v>328</v>
      </c>
      <c r="B329" s="3" t="str">
        <f>RECEIPT!B329</f>
        <v>BEARING F209</v>
      </c>
      <c r="C329" s="3" t="s">
        <v>7</v>
      </c>
      <c r="D329" s="3">
        <v>1</v>
      </c>
      <c r="E329" s="3">
        <f>RECEIPT!Q329</f>
        <v>0</v>
      </c>
      <c r="F329" s="3">
        <f>ISSUE!BC329</f>
        <v>0</v>
      </c>
      <c r="G329" s="3">
        <f t="shared" si="5"/>
        <v>1</v>
      </c>
    </row>
    <row r="330" spans="1:7" x14ac:dyDescent="0.25">
      <c r="A330" s="7">
        <v>329</v>
      </c>
      <c r="B330" s="3" t="str">
        <f>RECEIPT!B330</f>
        <v>BEARING 6818</v>
      </c>
      <c r="C330" s="3" t="s">
        <v>7</v>
      </c>
      <c r="D330" s="3">
        <v>2</v>
      </c>
      <c r="E330" s="3">
        <f>RECEIPT!Q330</f>
        <v>2</v>
      </c>
      <c r="F330" s="3">
        <f>ISSUE!BC330</f>
        <v>0</v>
      </c>
      <c r="G330" s="3">
        <f t="shared" si="5"/>
        <v>4</v>
      </c>
    </row>
    <row r="331" spans="1:7" x14ac:dyDescent="0.25">
      <c r="A331" s="7">
        <v>330</v>
      </c>
      <c r="B331" s="3" t="str">
        <f>RECEIPT!B331</f>
        <v>BEARING 6814</v>
      </c>
      <c r="C331" s="3" t="s">
        <v>7</v>
      </c>
      <c r="D331" s="3">
        <v>1</v>
      </c>
      <c r="E331" s="3">
        <f>RECEIPT!Q331</f>
        <v>2</v>
      </c>
      <c r="F331" s="3">
        <f>ISSUE!BC331</f>
        <v>0</v>
      </c>
      <c r="G331" s="3">
        <f t="shared" si="5"/>
        <v>3</v>
      </c>
    </row>
    <row r="332" spans="1:7" x14ac:dyDescent="0.25">
      <c r="A332" s="7">
        <v>331</v>
      </c>
      <c r="B332" s="3" t="str">
        <f>RECEIPT!B332</f>
        <v>BEARING 6311</v>
      </c>
      <c r="C332" s="3" t="s">
        <v>7</v>
      </c>
      <c r="D332" s="3">
        <v>2</v>
      </c>
      <c r="E332" s="3">
        <f>RECEIPT!Q332</f>
        <v>0</v>
      </c>
      <c r="F332" s="3">
        <f>ISSUE!BC332</f>
        <v>0</v>
      </c>
      <c r="G332" s="3">
        <f t="shared" si="5"/>
        <v>2</v>
      </c>
    </row>
    <row r="333" spans="1:7" x14ac:dyDescent="0.25">
      <c r="A333" s="7">
        <v>332</v>
      </c>
      <c r="B333" s="3" t="str">
        <f>RECEIPT!B333</f>
        <v>BEARING 6310</v>
      </c>
      <c r="C333" s="3" t="s">
        <v>7</v>
      </c>
      <c r="D333" s="3">
        <v>1</v>
      </c>
      <c r="E333" s="3">
        <f>RECEIPT!Q333</f>
        <v>0</v>
      </c>
      <c r="F333" s="3">
        <f>ISSUE!BC333</f>
        <v>0</v>
      </c>
      <c r="G333" s="3">
        <f t="shared" si="5"/>
        <v>1</v>
      </c>
    </row>
    <row r="334" spans="1:7" x14ac:dyDescent="0.25">
      <c r="A334" s="7">
        <v>333</v>
      </c>
      <c r="B334" s="3" t="str">
        <f>RECEIPT!B334</f>
        <v>BEARING 6309</v>
      </c>
      <c r="C334" s="3" t="s">
        <v>7</v>
      </c>
      <c r="D334" s="3">
        <v>2</v>
      </c>
      <c r="E334" s="3">
        <f>RECEIPT!Q334</f>
        <v>0</v>
      </c>
      <c r="F334" s="3">
        <f>ISSUE!BC334</f>
        <v>0</v>
      </c>
      <c r="G334" s="3">
        <f t="shared" si="5"/>
        <v>2</v>
      </c>
    </row>
    <row r="335" spans="1:7" x14ac:dyDescent="0.25">
      <c r="A335" s="7">
        <v>334</v>
      </c>
      <c r="B335" s="3" t="str">
        <f>RECEIPT!B335</f>
        <v>BEARING 6308</v>
      </c>
      <c r="C335" s="3" t="s">
        <v>7</v>
      </c>
      <c r="D335" s="3">
        <v>2</v>
      </c>
      <c r="E335" s="3">
        <f>RECEIPT!Q335</f>
        <v>0</v>
      </c>
      <c r="F335" s="3">
        <f>ISSUE!BC335</f>
        <v>0</v>
      </c>
      <c r="G335" s="3">
        <f t="shared" si="5"/>
        <v>2</v>
      </c>
    </row>
    <row r="336" spans="1:7" x14ac:dyDescent="0.25">
      <c r="A336" s="7">
        <v>335</v>
      </c>
      <c r="B336" s="3" t="str">
        <f>RECEIPT!B336</f>
        <v>BEARING 6306</v>
      </c>
      <c r="C336" s="3" t="s">
        <v>7</v>
      </c>
      <c r="D336" s="3">
        <v>1</v>
      </c>
      <c r="E336" s="3">
        <f>RECEIPT!Q336</f>
        <v>0</v>
      </c>
      <c r="F336" s="3">
        <f>ISSUE!BC336</f>
        <v>0</v>
      </c>
      <c r="G336" s="3">
        <f t="shared" si="5"/>
        <v>1</v>
      </c>
    </row>
    <row r="337" spans="1:7" x14ac:dyDescent="0.25">
      <c r="A337" s="7">
        <v>336</v>
      </c>
      <c r="B337" s="3" t="str">
        <f>RECEIPT!B337</f>
        <v>BEARING 6305</v>
      </c>
      <c r="C337" s="3" t="s">
        <v>7</v>
      </c>
      <c r="D337" s="3">
        <v>2</v>
      </c>
      <c r="E337" s="3">
        <f>RECEIPT!Q337</f>
        <v>0</v>
      </c>
      <c r="F337" s="3">
        <f>ISSUE!BC337</f>
        <v>0</v>
      </c>
      <c r="G337" s="3">
        <f t="shared" si="5"/>
        <v>2</v>
      </c>
    </row>
    <row r="338" spans="1:7" x14ac:dyDescent="0.25">
      <c r="A338" s="7">
        <v>337</v>
      </c>
      <c r="B338" s="3" t="str">
        <f>RECEIPT!B338</f>
        <v>BEARING 6304</v>
      </c>
      <c r="C338" s="3" t="s">
        <v>7</v>
      </c>
      <c r="D338" s="3">
        <v>1</v>
      </c>
      <c r="E338" s="3">
        <f>RECEIPT!Q338</f>
        <v>0</v>
      </c>
      <c r="F338" s="3">
        <f>ISSUE!BC338</f>
        <v>0</v>
      </c>
      <c r="G338" s="3">
        <f t="shared" si="5"/>
        <v>1</v>
      </c>
    </row>
    <row r="339" spans="1:7" x14ac:dyDescent="0.25">
      <c r="A339" s="7">
        <v>338</v>
      </c>
      <c r="B339" s="3" t="str">
        <f>RECEIPT!B339</f>
        <v>BEARING 6203</v>
      </c>
      <c r="C339" s="3" t="s">
        <v>7</v>
      </c>
      <c r="D339" s="3">
        <v>3</v>
      </c>
      <c r="E339" s="3">
        <f>RECEIPT!Q339</f>
        <v>2</v>
      </c>
      <c r="F339" s="3">
        <f>ISSUE!BC339</f>
        <v>2</v>
      </c>
      <c r="G339" s="3">
        <f t="shared" si="5"/>
        <v>3</v>
      </c>
    </row>
    <row r="340" spans="1:7" x14ac:dyDescent="0.25">
      <c r="A340" s="7">
        <v>339</v>
      </c>
      <c r="B340" s="3" t="str">
        <f>RECEIPT!B340</f>
        <v>BEARING 6302</v>
      </c>
      <c r="C340" s="3" t="s">
        <v>7</v>
      </c>
      <c r="D340" s="3">
        <v>7</v>
      </c>
      <c r="E340" s="3">
        <f>RECEIPT!Q340</f>
        <v>0</v>
      </c>
      <c r="F340" s="3">
        <f>ISSUE!BC340</f>
        <v>0</v>
      </c>
      <c r="G340" s="3">
        <f t="shared" si="5"/>
        <v>7</v>
      </c>
    </row>
    <row r="341" spans="1:7" x14ac:dyDescent="0.25">
      <c r="A341" s="7">
        <v>340</v>
      </c>
      <c r="B341" s="3" t="str">
        <f>RECEIPT!B341</f>
        <v>BEARING 629</v>
      </c>
      <c r="C341" s="3" t="s">
        <v>7</v>
      </c>
      <c r="D341" s="3">
        <v>4</v>
      </c>
      <c r="E341" s="3">
        <f>RECEIPT!Q341</f>
        <v>0</v>
      </c>
      <c r="F341" s="3">
        <f>ISSUE!BC341</f>
        <v>0</v>
      </c>
      <c r="G341" s="3">
        <f t="shared" si="5"/>
        <v>4</v>
      </c>
    </row>
    <row r="342" spans="1:7" x14ac:dyDescent="0.25">
      <c r="A342" s="7">
        <v>341</v>
      </c>
      <c r="B342" s="3" t="str">
        <f>RECEIPT!B342</f>
        <v>BEARING 628</v>
      </c>
      <c r="C342" s="3" t="s">
        <v>7</v>
      </c>
      <c r="D342" s="3">
        <v>10</v>
      </c>
      <c r="E342" s="3">
        <f>RECEIPT!Q342</f>
        <v>0</v>
      </c>
      <c r="F342" s="3">
        <f>ISSUE!BC342</f>
        <v>0</v>
      </c>
      <c r="G342" s="3">
        <f t="shared" si="5"/>
        <v>10</v>
      </c>
    </row>
    <row r="343" spans="1:7" x14ac:dyDescent="0.25">
      <c r="A343" s="7">
        <v>342</v>
      </c>
      <c r="B343" s="3" t="str">
        <f>RECEIPT!B343</f>
        <v>BEARING 6211</v>
      </c>
      <c r="C343" s="3" t="s">
        <v>7</v>
      </c>
      <c r="D343" s="3">
        <v>1</v>
      </c>
      <c r="E343" s="3">
        <f>RECEIPT!Q343</f>
        <v>0</v>
      </c>
      <c r="F343" s="3">
        <f>ISSUE!BC343</f>
        <v>0</v>
      </c>
      <c r="G343" s="3">
        <f t="shared" si="5"/>
        <v>1</v>
      </c>
    </row>
    <row r="344" spans="1:7" x14ac:dyDescent="0.25">
      <c r="A344" s="7">
        <v>343</v>
      </c>
      <c r="B344" s="3" t="str">
        <f>RECEIPT!B344</f>
        <v>BEARING 6210</v>
      </c>
      <c r="C344" s="3" t="s">
        <v>7</v>
      </c>
      <c r="D344" s="3">
        <v>2</v>
      </c>
      <c r="E344" s="3">
        <f>RECEIPT!Q344</f>
        <v>0</v>
      </c>
      <c r="F344" s="3">
        <f>ISSUE!BC344</f>
        <v>0</v>
      </c>
      <c r="G344" s="3">
        <f t="shared" si="5"/>
        <v>2</v>
      </c>
    </row>
    <row r="345" spans="1:7" x14ac:dyDescent="0.25">
      <c r="A345" s="7">
        <v>344</v>
      </c>
      <c r="B345" s="3" t="str">
        <f>RECEIPT!B345</f>
        <v>BEARING 6209</v>
      </c>
      <c r="C345" s="3" t="s">
        <v>7</v>
      </c>
      <c r="D345" s="3">
        <v>2</v>
      </c>
      <c r="E345" s="3">
        <f>RECEIPT!Q345</f>
        <v>4</v>
      </c>
      <c r="F345" s="3">
        <f>ISSUE!BC345</f>
        <v>2</v>
      </c>
      <c r="G345" s="3">
        <f t="shared" si="5"/>
        <v>4</v>
      </c>
    </row>
    <row r="346" spans="1:7" x14ac:dyDescent="0.25">
      <c r="A346" s="7">
        <v>345</v>
      </c>
      <c r="B346" s="3" t="str">
        <f>RECEIPT!B346</f>
        <v>BEARING 6208</v>
      </c>
      <c r="C346" s="3" t="s">
        <v>7</v>
      </c>
      <c r="D346" s="3">
        <v>1</v>
      </c>
      <c r="E346" s="3">
        <f>RECEIPT!Q346</f>
        <v>0</v>
      </c>
      <c r="F346" s="3">
        <f>ISSUE!BC346</f>
        <v>0</v>
      </c>
      <c r="G346" s="3">
        <f t="shared" si="5"/>
        <v>1</v>
      </c>
    </row>
    <row r="347" spans="1:7" x14ac:dyDescent="0.25">
      <c r="A347" s="7">
        <v>346</v>
      </c>
      <c r="B347" s="3" t="str">
        <f>RECEIPT!B347</f>
        <v>BEARING 6206</v>
      </c>
      <c r="C347" s="3" t="s">
        <v>7</v>
      </c>
      <c r="D347" s="3">
        <v>10</v>
      </c>
      <c r="E347" s="3">
        <f>RECEIPT!Q347</f>
        <v>0</v>
      </c>
      <c r="F347" s="3">
        <f>ISSUE!BC347</f>
        <v>4</v>
      </c>
      <c r="G347" s="3">
        <f t="shared" si="5"/>
        <v>6</v>
      </c>
    </row>
    <row r="348" spans="1:7" x14ac:dyDescent="0.25">
      <c r="A348" s="7">
        <v>347</v>
      </c>
      <c r="B348" s="3" t="str">
        <f>RECEIPT!B348</f>
        <v>BEARING 6205</v>
      </c>
      <c r="C348" s="3" t="s">
        <v>7</v>
      </c>
      <c r="D348" s="3">
        <v>12</v>
      </c>
      <c r="E348" s="3">
        <f>RECEIPT!Q348</f>
        <v>0</v>
      </c>
      <c r="F348" s="3">
        <f>ISSUE!BC348</f>
        <v>1</v>
      </c>
      <c r="G348" s="3">
        <f t="shared" si="5"/>
        <v>11</v>
      </c>
    </row>
    <row r="349" spans="1:7" x14ac:dyDescent="0.25">
      <c r="A349" s="7">
        <v>348</v>
      </c>
      <c r="B349" s="3" t="str">
        <f>RECEIPT!B349</f>
        <v>BEARING 6204</v>
      </c>
      <c r="C349" s="3" t="s">
        <v>7</v>
      </c>
      <c r="D349" s="3">
        <v>5</v>
      </c>
      <c r="E349" s="3">
        <f>RECEIPT!Q349</f>
        <v>16</v>
      </c>
      <c r="F349" s="3">
        <f>ISSUE!BC349</f>
        <v>13</v>
      </c>
      <c r="G349" s="3">
        <f t="shared" si="5"/>
        <v>8</v>
      </c>
    </row>
    <row r="350" spans="1:7" x14ac:dyDescent="0.25">
      <c r="A350" s="7">
        <v>349</v>
      </c>
      <c r="B350" s="3" t="str">
        <f>RECEIPT!B350</f>
        <v>BEARING 6202</v>
      </c>
      <c r="C350" s="3" t="s">
        <v>7</v>
      </c>
      <c r="D350" s="3">
        <v>4</v>
      </c>
      <c r="E350" s="3">
        <f>RECEIPT!Q350</f>
        <v>0</v>
      </c>
      <c r="F350" s="3">
        <f>ISSUE!BC350</f>
        <v>1</v>
      </c>
      <c r="G350" s="3">
        <f t="shared" si="5"/>
        <v>3</v>
      </c>
    </row>
    <row r="351" spans="1:7" x14ac:dyDescent="0.25">
      <c r="A351" s="7">
        <v>350</v>
      </c>
      <c r="B351" s="3" t="str">
        <f>RECEIPT!B351</f>
        <v>BEARING 608</v>
      </c>
      <c r="C351" s="3" t="s">
        <v>7</v>
      </c>
      <c r="D351" s="3">
        <v>2</v>
      </c>
      <c r="E351" s="3">
        <f>RECEIPT!Q351</f>
        <v>0</v>
      </c>
      <c r="F351" s="3">
        <f>ISSUE!BC351</f>
        <v>0</v>
      </c>
      <c r="G351" s="3">
        <f t="shared" si="5"/>
        <v>2</v>
      </c>
    </row>
    <row r="352" spans="1:7" x14ac:dyDescent="0.25">
      <c r="A352" s="7">
        <v>351</v>
      </c>
      <c r="B352" s="3" t="str">
        <f>RECEIPT!B352</f>
        <v>BEARING 6012</v>
      </c>
      <c r="C352" s="3" t="s">
        <v>7</v>
      </c>
      <c r="D352" s="3">
        <v>2</v>
      </c>
      <c r="E352" s="3">
        <f>RECEIPT!Q352</f>
        <v>0</v>
      </c>
      <c r="F352" s="3">
        <f>ISSUE!BC352</f>
        <v>0</v>
      </c>
      <c r="G352" s="3">
        <f t="shared" si="5"/>
        <v>2</v>
      </c>
    </row>
    <row r="353" spans="1:7" x14ac:dyDescent="0.25">
      <c r="A353" s="7">
        <v>352</v>
      </c>
      <c r="B353" s="3" t="str">
        <f>RECEIPT!B353</f>
        <v>BEARING 6007</v>
      </c>
      <c r="C353" s="3" t="s">
        <v>7</v>
      </c>
      <c r="D353" s="3">
        <v>2</v>
      </c>
      <c r="E353" s="3">
        <f>RECEIPT!Q353</f>
        <v>0</v>
      </c>
      <c r="F353" s="3">
        <f>ISSUE!BC353</f>
        <v>0</v>
      </c>
      <c r="G353" s="3">
        <f t="shared" si="5"/>
        <v>2</v>
      </c>
    </row>
    <row r="354" spans="1:7" x14ac:dyDescent="0.25">
      <c r="A354" s="7">
        <v>353</v>
      </c>
      <c r="B354" s="3" t="str">
        <f>RECEIPT!B354</f>
        <v>BEARING 6006</v>
      </c>
      <c r="C354" s="3" t="s">
        <v>7</v>
      </c>
      <c r="D354" s="3">
        <v>7</v>
      </c>
      <c r="E354" s="3">
        <f>RECEIPT!Q354</f>
        <v>7</v>
      </c>
      <c r="F354" s="3">
        <f>ISSUE!BC354</f>
        <v>6</v>
      </c>
      <c r="G354" s="3">
        <f t="shared" si="5"/>
        <v>8</v>
      </c>
    </row>
    <row r="355" spans="1:7" x14ac:dyDescent="0.25">
      <c r="A355" s="7">
        <v>354</v>
      </c>
      <c r="B355" s="3" t="str">
        <f>RECEIPT!B355</f>
        <v>BEARING 6005</v>
      </c>
      <c r="C355" s="3" t="s">
        <v>7</v>
      </c>
      <c r="D355" s="3">
        <v>12</v>
      </c>
      <c r="E355" s="3">
        <f>RECEIPT!Q355</f>
        <v>0</v>
      </c>
      <c r="F355" s="3">
        <f>ISSUE!BC355</f>
        <v>4</v>
      </c>
      <c r="G355" s="3">
        <f t="shared" si="5"/>
        <v>8</v>
      </c>
    </row>
    <row r="356" spans="1:7" x14ac:dyDescent="0.25">
      <c r="A356" s="7">
        <v>355</v>
      </c>
      <c r="B356" s="3" t="str">
        <f>RECEIPT!B356</f>
        <v>BEARING 6004</v>
      </c>
      <c r="C356" s="3" t="s">
        <v>7</v>
      </c>
      <c r="D356" s="3">
        <v>1</v>
      </c>
      <c r="E356" s="3">
        <f>RECEIPT!Q356</f>
        <v>6</v>
      </c>
      <c r="F356" s="3">
        <f>ISSUE!BC356</f>
        <v>6</v>
      </c>
      <c r="G356" s="3">
        <f t="shared" si="5"/>
        <v>1</v>
      </c>
    </row>
    <row r="357" spans="1:7" x14ac:dyDescent="0.25">
      <c r="A357" s="7">
        <v>356</v>
      </c>
      <c r="B357" s="3" t="str">
        <f>RECEIPT!B357</f>
        <v>BEARING 6001</v>
      </c>
      <c r="C357" s="3" t="s">
        <v>7</v>
      </c>
      <c r="D357" s="3">
        <v>8</v>
      </c>
      <c r="E357" s="3">
        <f>RECEIPT!Q357</f>
        <v>0</v>
      </c>
      <c r="F357" s="3">
        <f>ISSUE!BC357</f>
        <v>0</v>
      </c>
      <c r="G357" s="3">
        <f t="shared" si="5"/>
        <v>8</v>
      </c>
    </row>
    <row r="358" spans="1:7" x14ac:dyDescent="0.25">
      <c r="A358" s="7">
        <v>357</v>
      </c>
      <c r="B358" s="3" t="str">
        <f>RECEIPT!B358</f>
        <v>BEARING 6000</v>
      </c>
      <c r="C358" s="3" t="s">
        <v>7</v>
      </c>
      <c r="D358" s="3">
        <v>10</v>
      </c>
      <c r="E358" s="3">
        <f>RECEIPT!Q358</f>
        <v>0</v>
      </c>
      <c r="F358" s="3">
        <f>ISSUE!BC358</f>
        <v>0</v>
      </c>
      <c r="G358" s="3">
        <f t="shared" si="5"/>
        <v>10</v>
      </c>
    </row>
    <row r="359" spans="1:7" x14ac:dyDescent="0.25">
      <c r="A359" s="7">
        <v>358</v>
      </c>
      <c r="B359" s="3" t="str">
        <f>RECEIPT!B359</f>
        <v>BEARING 51204</v>
      </c>
      <c r="C359" s="3" t="s">
        <v>7</v>
      </c>
      <c r="D359" s="3">
        <v>6</v>
      </c>
      <c r="E359" s="3">
        <f>RECEIPT!Q359</f>
        <v>0</v>
      </c>
      <c r="F359" s="3">
        <f>ISSUE!BC359</f>
        <v>0</v>
      </c>
      <c r="G359" s="3">
        <f t="shared" si="5"/>
        <v>6</v>
      </c>
    </row>
    <row r="360" spans="1:7" x14ac:dyDescent="0.25">
      <c r="A360" s="7">
        <v>359</v>
      </c>
      <c r="B360" s="3" t="str">
        <f>RECEIPT!B360</f>
        <v>BEARING 3207</v>
      </c>
      <c r="C360" s="3" t="s">
        <v>7</v>
      </c>
      <c r="D360" s="3">
        <v>2</v>
      </c>
      <c r="E360" s="3">
        <f>RECEIPT!Q360</f>
        <v>0</v>
      </c>
      <c r="F360" s="3">
        <f>ISSUE!BC360</f>
        <v>0</v>
      </c>
      <c r="G360" s="3">
        <f t="shared" si="5"/>
        <v>2</v>
      </c>
    </row>
    <row r="361" spans="1:7" x14ac:dyDescent="0.25">
      <c r="A361" s="7">
        <v>360</v>
      </c>
      <c r="B361" s="3" t="str">
        <f>RECEIPT!B361</f>
        <v>BEARING 22316</v>
      </c>
      <c r="C361" s="3" t="s">
        <v>7</v>
      </c>
      <c r="D361" s="3">
        <v>1</v>
      </c>
      <c r="E361" s="3">
        <f>RECEIPT!Q361</f>
        <v>0</v>
      </c>
      <c r="F361" s="3">
        <f>ISSUE!BC361</f>
        <v>0</v>
      </c>
      <c r="G361" s="3">
        <f t="shared" si="5"/>
        <v>1</v>
      </c>
    </row>
    <row r="362" spans="1:7" x14ac:dyDescent="0.25">
      <c r="A362" s="7">
        <v>361</v>
      </c>
      <c r="B362" s="3" t="str">
        <f>RECEIPT!B362</f>
        <v>BEARING 22224</v>
      </c>
      <c r="C362" s="3" t="s">
        <v>7</v>
      </c>
      <c r="D362" s="3">
        <v>1</v>
      </c>
      <c r="E362" s="3">
        <f>RECEIPT!Q362</f>
        <v>0</v>
      </c>
      <c r="F362" s="3">
        <f>ISSUE!BC362</f>
        <v>0</v>
      </c>
      <c r="G362" s="3">
        <f t="shared" si="5"/>
        <v>1</v>
      </c>
    </row>
    <row r="363" spans="1:7" x14ac:dyDescent="0.25">
      <c r="A363" s="7">
        <v>362</v>
      </c>
      <c r="B363" s="3" t="str">
        <f>RECEIPT!B363</f>
        <v>BEARING 22216</v>
      </c>
      <c r="C363" s="3" t="s">
        <v>7</v>
      </c>
      <c r="D363" s="3">
        <v>1</v>
      </c>
      <c r="E363" s="3">
        <f>RECEIPT!Q363</f>
        <v>2</v>
      </c>
      <c r="F363" s="3">
        <f>ISSUE!BC363</f>
        <v>0</v>
      </c>
      <c r="G363" s="3">
        <f t="shared" si="5"/>
        <v>3</v>
      </c>
    </row>
    <row r="364" spans="1:7" x14ac:dyDescent="0.25">
      <c r="A364" s="7">
        <v>363</v>
      </c>
      <c r="B364" s="3" t="str">
        <f>RECEIPT!B364</f>
        <v>BEARING 22215</v>
      </c>
      <c r="C364" s="3" t="s">
        <v>7</v>
      </c>
      <c r="D364" s="3">
        <v>2</v>
      </c>
      <c r="E364" s="3">
        <f>RECEIPT!Q364</f>
        <v>0</v>
      </c>
      <c r="F364" s="3">
        <f>ISSUE!BC364</f>
        <v>0</v>
      </c>
      <c r="G364" s="3">
        <f t="shared" si="5"/>
        <v>2</v>
      </c>
    </row>
    <row r="365" spans="1:7" x14ac:dyDescent="0.25">
      <c r="A365" s="7">
        <v>364</v>
      </c>
      <c r="B365" s="3" t="str">
        <f>RECEIPT!B365</f>
        <v>BEARING 2215K</v>
      </c>
      <c r="C365" s="3" t="s">
        <v>7</v>
      </c>
      <c r="D365" s="3">
        <v>1</v>
      </c>
      <c r="E365" s="3">
        <f>RECEIPT!Q365</f>
        <v>0</v>
      </c>
      <c r="F365" s="3">
        <f>ISSUE!BC365</f>
        <v>0</v>
      </c>
      <c r="G365" s="3">
        <f t="shared" si="5"/>
        <v>1</v>
      </c>
    </row>
    <row r="366" spans="1:7" x14ac:dyDescent="0.25">
      <c r="A366" s="7">
        <v>365</v>
      </c>
      <c r="B366" s="3" t="str">
        <f>RECEIPT!B366</f>
        <v>BEARING 2211</v>
      </c>
      <c r="C366" s="3" t="s">
        <v>7</v>
      </c>
      <c r="D366" s="3">
        <v>1</v>
      </c>
      <c r="E366" s="3">
        <f>RECEIPT!Q366</f>
        <v>0</v>
      </c>
      <c r="F366" s="3">
        <f>ISSUE!BC366</f>
        <v>0</v>
      </c>
      <c r="G366" s="3">
        <f t="shared" si="5"/>
        <v>1</v>
      </c>
    </row>
    <row r="367" spans="1:7" x14ac:dyDescent="0.25">
      <c r="A367" s="7">
        <v>366</v>
      </c>
      <c r="B367" s="3" t="str">
        <f>RECEIPT!B367</f>
        <v>BALL VALVE 3/4"</v>
      </c>
      <c r="C367" s="3" t="s">
        <v>7</v>
      </c>
      <c r="D367" s="3">
        <v>1</v>
      </c>
      <c r="E367" s="3">
        <f>RECEIPT!Q367</f>
        <v>0</v>
      </c>
      <c r="F367" s="3">
        <f>ISSUE!BC367</f>
        <v>0</v>
      </c>
      <c r="G367" s="3">
        <f t="shared" si="5"/>
        <v>1</v>
      </c>
    </row>
    <row r="368" spans="1:7" x14ac:dyDescent="0.25">
      <c r="A368" s="7">
        <v>367</v>
      </c>
      <c r="B368" s="3" t="str">
        <f>RECEIPT!B368</f>
        <v>BALL VALVE 2"</v>
      </c>
      <c r="C368" s="3" t="s">
        <v>7</v>
      </c>
      <c r="D368" s="3">
        <v>4</v>
      </c>
      <c r="E368" s="3">
        <f>RECEIPT!Q368</f>
        <v>0</v>
      </c>
      <c r="F368" s="3">
        <f>ISSUE!BC368</f>
        <v>1</v>
      </c>
      <c r="G368" s="3">
        <f t="shared" si="5"/>
        <v>3</v>
      </c>
    </row>
    <row r="369" spans="1:7" x14ac:dyDescent="0.25">
      <c r="A369" s="7">
        <v>368</v>
      </c>
      <c r="B369" s="3" t="str">
        <f>RECEIPT!B369</f>
        <v>BALL VALVE 1.5"</v>
      </c>
      <c r="C369" s="3" t="s">
        <v>7</v>
      </c>
      <c r="D369" s="3">
        <v>2</v>
      </c>
      <c r="E369" s="3">
        <f>RECEIPT!Q369</f>
        <v>0</v>
      </c>
      <c r="F369" s="3">
        <f>ISSUE!BC369</f>
        <v>0</v>
      </c>
      <c r="G369" s="3">
        <f t="shared" si="5"/>
        <v>2</v>
      </c>
    </row>
    <row r="370" spans="1:7" x14ac:dyDescent="0.25">
      <c r="A370" s="7">
        <v>369</v>
      </c>
      <c r="B370" s="3" t="str">
        <f>RECEIPT!B370</f>
        <v>BALL VALVE 1.25</v>
      </c>
      <c r="C370" s="3" t="s">
        <v>7</v>
      </c>
      <c r="D370" s="3">
        <v>1</v>
      </c>
      <c r="E370" s="3">
        <f>RECEIPT!Q370</f>
        <v>0</v>
      </c>
      <c r="F370" s="3">
        <f>ISSUE!BC370</f>
        <v>0</v>
      </c>
      <c r="G370" s="3">
        <f t="shared" si="5"/>
        <v>1</v>
      </c>
    </row>
    <row r="371" spans="1:7" x14ac:dyDescent="0.25">
      <c r="A371" s="7">
        <v>370</v>
      </c>
      <c r="B371" s="3" t="str">
        <f>RECEIPT!B371</f>
        <v>BALL VALVE 1"</v>
      </c>
      <c r="C371" s="3" t="s">
        <v>7</v>
      </c>
      <c r="D371" s="3">
        <v>4</v>
      </c>
      <c r="E371" s="3">
        <f>RECEIPT!Q371</f>
        <v>2</v>
      </c>
      <c r="F371" s="3">
        <f>ISSUE!BC371</f>
        <v>2</v>
      </c>
      <c r="G371" s="3">
        <f t="shared" si="5"/>
        <v>4</v>
      </c>
    </row>
    <row r="372" spans="1:7" x14ac:dyDescent="0.25">
      <c r="A372" s="7">
        <v>371</v>
      </c>
      <c r="B372" s="3" t="str">
        <f>RECEIPT!B372</f>
        <v>AUXILARY CONTACTOR MX-A-1 22E</v>
      </c>
      <c r="C372" s="3" t="s">
        <v>7</v>
      </c>
      <c r="D372" s="3">
        <v>3</v>
      </c>
      <c r="E372" s="3">
        <f>RECEIPT!Q372</f>
        <v>0</v>
      </c>
      <c r="F372" s="3">
        <f>ISSUE!BC372</f>
        <v>0</v>
      </c>
      <c r="G372" s="3">
        <f t="shared" si="5"/>
        <v>3</v>
      </c>
    </row>
    <row r="373" spans="1:7" x14ac:dyDescent="0.25">
      <c r="A373" s="7">
        <v>372</v>
      </c>
      <c r="B373" s="3" t="str">
        <f>RECEIPT!B373</f>
        <v>ANABOND 666</v>
      </c>
      <c r="C373" s="3" t="s">
        <v>7</v>
      </c>
      <c r="D373" s="3">
        <v>1</v>
      </c>
      <c r="E373" s="3">
        <f>RECEIPT!Q373</f>
        <v>0</v>
      </c>
      <c r="F373" s="3">
        <f>ISSUE!BC373</f>
        <v>0</v>
      </c>
      <c r="G373" s="3">
        <f t="shared" si="5"/>
        <v>1</v>
      </c>
    </row>
    <row r="374" spans="1:7" x14ac:dyDescent="0.25">
      <c r="A374" s="7">
        <v>373</v>
      </c>
      <c r="B374" s="3" t="str">
        <f>RECEIPT!B374</f>
        <v>ALU.THIMBLE RING TYPE 95MM</v>
      </c>
      <c r="C374" s="3" t="s">
        <v>7</v>
      </c>
      <c r="D374" s="3">
        <v>28</v>
      </c>
      <c r="E374" s="3">
        <f>RECEIPT!Q374</f>
        <v>0</v>
      </c>
      <c r="F374" s="3">
        <f>ISSUE!BC374</f>
        <v>0</v>
      </c>
      <c r="G374" s="3">
        <f t="shared" si="5"/>
        <v>28</v>
      </c>
    </row>
    <row r="375" spans="1:7" x14ac:dyDescent="0.25">
      <c r="A375" s="7">
        <v>374</v>
      </c>
      <c r="B375" s="3" t="str">
        <f>RECEIPT!B375</f>
        <v>ALU.THIMBLE RING TYPE 70MM</v>
      </c>
      <c r="C375" s="3" t="s">
        <v>7</v>
      </c>
      <c r="D375" s="3">
        <v>13</v>
      </c>
      <c r="E375" s="3">
        <f>RECEIPT!Q375</f>
        <v>2</v>
      </c>
      <c r="F375" s="3">
        <f>ISSUE!BC375</f>
        <v>4</v>
      </c>
      <c r="G375" s="3">
        <f t="shared" si="5"/>
        <v>11</v>
      </c>
    </row>
    <row r="376" spans="1:7" x14ac:dyDescent="0.25">
      <c r="A376" s="7">
        <v>375</v>
      </c>
      <c r="B376" s="3" t="str">
        <f>RECEIPT!B376</f>
        <v>ALU.THIMBLE RING TYPE 50MM</v>
      </c>
      <c r="C376" s="3" t="s">
        <v>7</v>
      </c>
      <c r="D376" s="3">
        <v>28</v>
      </c>
      <c r="E376" s="3">
        <f>RECEIPT!Q376</f>
        <v>0</v>
      </c>
      <c r="F376" s="3">
        <f>ISSUE!BC376</f>
        <v>0</v>
      </c>
      <c r="G376" s="3">
        <f t="shared" si="5"/>
        <v>28</v>
      </c>
    </row>
    <row r="377" spans="1:7" x14ac:dyDescent="0.25">
      <c r="A377" s="7">
        <v>376</v>
      </c>
      <c r="B377" s="3" t="str">
        <f>RECEIPT!B377</f>
        <v>ALU.THIMBLE RING TYPE 400MM</v>
      </c>
      <c r="C377" s="3" t="s">
        <v>7</v>
      </c>
      <c r="D377" s="3">
        <v>8</v>
      </c>
      <c r="E377" s="3">
        <f>RECEIPT!Q377</f>
        <v>0</v>
      </c>
      <c r="F377" s="3">
        <f>ISSUE!BC377</f>
        <v>0</v>
      </c>
      <c r="G377" s="3">
        <f t="shared" si="5"/>
        <v>8</v>
      </c>
    </row>
    <row r="378" spans="1:7" x14ac:dyDescent="0.25">
      <c r="A378" s="7">
        <v>377</v>
      </c>
      <c r="B378" s="3" t="str">
        <f>RECEIPT!B378</f>
        <v>ALU.THIMBLE RING TYPE 35MM</v>
      </c>
      <c r="C378" s="3" t="s">
        <v>7</v>
      </c>
      <c r="D378" s="3">
        <v>37</v>
      </c>
      <c r="E378" s="3">
        <f>RECEIPT!Q378</f>
        <v>0</v>
      </c>
      <c r="F378" s="3">
        <f>ISSUE!BC378</f>
        <v>0</v>
      </c>
      <c r="G378" s="3">
        <f t="shared" si="5"/>
        <v>37</v>
      </c>
    </row>
    <row r="379" spans="1:7" x14ac:dyDescent="0.25">
      <c r="A379" s="7">
        <v>378</v>
      </c>
      <c r="B379" s="3" t="str">
        <f>RECEIPT!B379</f>
        <v>ALU.THIMBLE RING TYPE 300MM</v>
      </c>
      <c r="C379" s="3" t="s">
        <v>7</v>
      </c>
      <c r="D379" s="3">
        <v>3</v>
      </c>
      <c r="E379" s="3">
        <f>RECEIPT!Q379</f>
        <v>0</v>
      </c>
      <c r="F379" s="3">
        <f>ISSUE!BC379</f>
        <v>0</v>
      </c>
      <c r="G379" s="3">
        <f t="shared" si="5"/>
        <v>3</v>
      </c>
    </row>
    <row r="380" spans="1:7" x14ac:dyDescent="0.25">
      <c r="A380" s="7">
        <v>379</v>
      </c>
      <c r="B380" s="3" t="str">
        <f>RECEIPT!B380</f>
        <v>ALU.THIMBLE RING TYPE 25MM</v>
      </c>
      <c r="C380" s="3" t="s">
        <v>7</v>
      </c>
      <c r="D380" s="3">
        <v>3</v>
      </c>
      <c r="E380" s="3">
        <f>RECEIPT!Q380</f>
        <v>0</v>
      </c>
      <c r="F380" s="3">
        <f>ISSUE!BC380</f>
        <v>0</v>
      </c>
      <c r="G380" s="3">
        <f t="shared" si="5"/>
        <v>3</v>
      </c>
    </row>
    <row r="381" spans="1:7" x14ac:dyDescent="0.25">
      <c r="A381" s="7">
        <v>380</v>
      </c>
      <c r="B381" s="3" t="str">
        <f>RECEIPT!B381</f>
        <v>ALU.THIMBLE RING TYPE 185MM</v>
      </c>
      <c r="C381" s="3" t="s">
        <v>7</v>
      </c>
      <c r="D381" s="3">
        <v>3</v>
      </c>
      <c r="E381" s="3">
        <f>RECEIPT!Q381</f>
        <v>0</v>
      </c>
      <c r="F381" s="3">
        <f>ISSUE!BC381</f>
        <v>0</v>
      </c>
      <c r="G381" s="3">
        <f t="shared" si="5"/>
        <v>3</v>
      </c>
    </row>
    <row r="382" spans="1:7" x14ac:dyDescent="0.25">
      <c r="A382" s="7">
        <v>381</v>
      </c>
      <c r="B382" s="3" t="str">
        <f>RECEIPT!B382</f>
        <v>ALU.THIMBLE RING TYPE 120MM</v>
      </c>
      <c r="C382" s="3" t="s">
        <v>7</v>
      </c>
      <c r="D382" s="3">
        <v>35</v>
      </c>
      <c r="E382" s="3">
        <f>RECEIPT!Q382</f>
        <v>0</v>
      </c>
      <c r="F382" s="3">
        <f>ISSUE!BC382</f>
        <v>6</v>
      </c>
      <c r="G382" s="3">
        <f t="shared" si="5"/>
        <v>29</v>
      </c>
    </row>
    <row r="383" spans="1:7" x14ac:dyDescent="0.25">
      <c r="A383" s="7">
        <v>382</v>
      </c>
      <c r="B383" s="3" t="str">
        <f>RECEIPT!B383</f>
        <v>AIR REGULATOR 1/2"</v>
      </c>
      <c r="C383" s="3" t="s">
        <v>7</v>
      </c>
      <c r="D383" s="3">
        <v>1</v>
      </c>
      <c r="E383" s="3">
        <f>RECEIPT!Q383</f>
        <v>0</v>
      </c>
      <c r="F383" s="3">
        <f>ISSUE!BC383</f>
        <v>0</v>
      </c>
      <c r="G383" s="3">
        <f t="shared" si="5"/>
        <v>1</v>
      </c>
    </row>
    <row r="384" spans="1:7" x14ac:dyDescent="0.25">
      <c r="A384" s="7">
        <v>383</v>
      </c>
      <c r="B384" s="3" t="str">
        <f>RECEIPT!B384</f>
        <v>AIR GUN</v>
      </c>
      <c r="C384" s="3" t="s">
        <v>7</v>
      </c>
      <c r="D384" s="3">
        <v>2</v>
      </c>
      <c r="E384" s="3">
        <f>RECEIPT!Q384</f>
        <v>0</v>
      </c>
      <c r="F384" s="3">
        <f>ISSUE!BC384</f>
        <v>0</v>
      </c>
      <c r="G384" s="3">
        <f t="shared" si="5"/>
        <v>2</v>
      </c>
    </row>
    <row r="385" spans="1:7" x14ac:dyDescent="0.25">
      <c r="A385" s="7">
        <v>384</v>
      </c>
      <c r="B385" s="3" t="str">
        <f>RECEIPT!B385</f>
        <v>AIR FILTER PINK 2120161530</v>
      </c>
      <c r="C385" s="3" t="s">
        <v>7</v>
      </c>
      <c r="D385" s="3">
        <v>2</v>
      </c>
      <c r="E385" s="3">
        <f>RECEIPT!Q385</f>
        <v>0</v>
      </c>
      <c r="F385" s="3">
        <f>ISSUE!BC385</f>
        <v>0</v>
      </c>
      <c r="G385" s="3">
        <f t="shared" si="5"/>
        <v>2</v>
      </c>
    </row>
    <row r="386" spans="1:7" x14ac:dyDescent="0.25">
      <c r="A386" s="7">
        <v>385</v>
      </c>
      <c r="B386" s="3" t="str">
        <f>RECEIPT!B386</f>
        <v>AIR FILTER 1/4"</v>
      </c>
      <c r="C386" s="3" t="s">
        <v>7</v>
      </c>
      <c r="D386" s="3">
        <v>5</v>
      </c>
      <c r="E386" s="3">
        <f>RECEIPT!Q386</f>
        <v>0</v>
      </c>
      <c r="F386" s="3">
        <f>ISSUE!BC386</f>
        <v>0</v>
      </c>
      <c r="G386" s="3">
        <f t="shared" si="5"/>
        <v>5</v>
      </c>
    </row>
    <row r="387" spans="1:7" x14ac:dyDescent="0.25">
      <c r="A387" s="7">
        <v>386</v>
      </c>
      <c r="B387" s="3" t="str">
        <f>RECEIPT!B387</f>
        <v>AIR BLOWER</v>
      </c>
      <c r="C387" s="3" t="s">
        <v>7</v>
      </c>
      <c r="D387" s="3">
        <v>1</v>
      </c>
      <c r="E387" s="3">
        <f>RECEIPT!Q387</f>
        <v>0</v>
      </c>
      <c r="F387" s="3">
        <f>ISSUE!BC387</f>
        <v>1</v>
      </c>
      <c r="G387" s="3">
        <f t="shared" ref="G387:G394" si="6">+D387+E387-F387</f>
        <v>0</v>
      </c>
    </row>
    <row r="388" spans="1:7" x14ac:dyDescent="0.25">
      <c r="A388" s="7">
        <v>387</v>
      </c>
      <c r="B388" s="3" t="str">
        <f>RECEIPT!B388</f>
        <v>3 PIN TOP FIRE PROOF</v>
      </c>
      <c r="C388" s="3" t="s">
        <v>7</v>
      </c>
      <c r="D388" s="3">
        <v>7</v>
      </c>
      <c r="E388" s="3">
        <f>RECEIPT!Q388</f>
        <v>0</v>
      </c>
      <c r="F388" s="3">
        <f>ISSUE!BC388</f>
        <v>0</v>
      </c>
      <c r="G388" s="3">
        <f t="shared" si="6"/>
        <v>7</v>
      </c>
    </row>
    <row r="389" spans="1:7" x14ac:dyDescent="0.25">
      <c r="A389" s="7">
        <v>388</v>
      </c>
      <c r="B389" s="3" t="str">
        <f>RECEIPT!B389</f>
        <v>3 PIN TOP 6A</v>
      </c>
      <c r="C389" s="3" t="s">
        <v>7</v>
      </c>
      <c r="D389" s="3">
        <v>7</v>
      </c>
      <c r="E389" s="3">
        <f>RECEIPT!Q389</f>
        <v>20</v>
      </c>
      <c r="F389" s="3">
        <f>ISSUE!BC389</f>
        <v>6</v>
      </c>
      <c r="G389" s="3">
        <f t="shared" si="6"/>
        <v>21</v>
      </c>
    </row>
    <row r="390" spans="1:7" x14ac:dyDescent="0.25">
      <c r="A390" s="7">
        <v>389</v>
      </c>
      <c r="B390" s="3" t="str">
        <f>RECEIPT!B390</f>
        <v>3 PIN TOP 16A</v>
      </c>
      <c r="C390" s="3" t="s">
        <v>7</v>
      </c>
      <c r="D390" s="3">
        <v>19</v>
      </c>
      <c r="E390" s="3">
        <f>RECEIPT!Q390</f>
        <v>0</v>
      </c>
      <c r="F390" s="3">
        <f>ISSUE!BC390</f>
        <v>2</v>
      </c>
      <c r="G390" s="3">
        <f t="shared" si="6"/>
        <v>17</v>
      </c>
    </row>
    <row r="391" spans="1:7" x14ac:dyDescent="0.25">
      <c r="A391" s="7">
        <v>390</v>
      </c>
      <c r="B391" s="3" t="str">
        <f>RECEIPT!B391</f>
        <v>HYDRAULIC PUMP MATCHING COIL</v>
      </c>
      <c r="C391" s="3" t="s">
        <v>7</v>
      </c>
      <c r="D391" s="3">
        <v>0</v>
      </c>
      <c r="E391" s="3">
        <f>RECEIPT!Q391</f>
        <v>4</v>
      </c>
      <c r="F391" s="3">
        <f>ISSUE!BC391</f>
        <v>1</v>
      </c>
      <c r="G391" s="3">
        <f t="shared" si="6"/>
        <v>3</v>
      </c>
    </row>
    <row r="392" spans="1:7" x14ac:dyDescent="0.25">
      <c r="A392" s="7">
        <v>391</v>
      </c>
      <c r="B392" s="3" t="str">
        <f>RECEIPT!B392</f>
        <v>MCB 6A 1P</v>
      </c>
      <c r="C392" s="3" t="s">
        <v>7</v>
      </c>
      <c r="D392" s="3">
        <v>0</v>
      </c>
      <c r="E392" s="3">
        <f>RECEIPT!Q392</f>
        <v>30</v>
      </c>
      <c r="F392" s="3">
        <f>ISSUE!BC392</f>
        <v>0</v>
      </c>
      <c r="G392" s="3">
        <f t="shared" si="6"/>
        <v>30</v>
      </c>
    </row>
    <row r="393" spans="1:7" x14ac:dyDescent="0.25">
      <c r="A393" s="7">
        <v>392</v>
      </c>
      <c r="B393" s="3" t="str">
        <f>RECEIPT!B393</f>
        <v>PU CONNECTOR M10 X M10</v>
      </c>
      <c r="C393" s="3" t="s">
        <v>7</v>
      </c>
      <c r="D393" s="3">
        <v>0</v>
      </c>
      <c r="E393" s="3">
        <f>RECEIPT!Q393</f>
        <v>15</v>
      </c>
      <c r="F393" s="3">
        <f>ISSUE!BC393</f>
        <v>2</v>
      </c>
      <c r="G393" s="3">
        <f t="shared" si="6"/>
        <v>13</v>
      </c>
    </row>
    <row r="394" spans="1:7" x14ac:dyDescent="0.25">
      <c r="A394" s="7">
        <v>393</v>
      </c>
      <c r="B394" s="3" t="str">
        <f>RECEIPT!B394</f>
        <v>PU TEE M10 X M10</v>
      </c>
      <c r="C394" s="3" t="s">
        <v>7</v>
      </c>
      <c r="D394" s="3">
        <v>0</v>
      </c>
      <c r="E394" s="3">
        <f>RECEIPT!Q394</f>
        <v>10</v>
      </c>
      <c r="F394" s="3">
        <f>ISSUE!BC394</f>
        <v>0</v>
      </c>
      <c r="G394" s="3">
        <f t="shared" si="6"/>
        <v>10</v>
      </c>
    </row>
    <row r="395" spans="1:7" x14ac:dyDescent="0.25">
      <c r="A395" s="7">
        <v>394</v>
      </c>
      <c r="B395" s="3">
        <f>RECEIPT!B395</f>
        <v>0</v>
      </c>
      <c r="C395" s="3" t="s">
        <v>7</v>
      </c>
      <c r="D395" s="3">
        <v>0</v>
      </c>
      <c r="E395" s="3">
        <f>RECEIPT!Q395</f>
        <v>0</v>
      </c>
      <c r="F395" s="3">
        <f>ISSUE!BC395</f>
        <v>0</v>
      </c>
      <c r="G395" s="3">
        <v>0</v>
      </c>
    </row>
    <row r="396" spans="1:7" x14ac:dyDescent="0.25">
      <c r="A396" s="7">
        <v>395</v>
      </c>
      <c r="B396" s="3">
        <f>RECEIPT!B396</f>
        <v>0</v>
      </c>
      <c r="C396" s="3" t="s">
        <v>7</v>
      </c>
      <c r="D396" s="3">
        <v>0</v>
      </c>
      <c r="E396" s="3">
        <f>RECEIPT!Q396</f>
        <v>0</v>
      </c>
      <c r="F396" s="3">
        <f>ISSUE!BC396</f>
        <v>0</v>
      </c>
      <c r="G396" s="3">
        <v>0</v>
      </c>
    </row>
    <row r="397" spans="1:7" x14ac:dyDescent="0.25">
      <c r="A397" s="7">
        <v>396</v>
      </c>
      <c r="B397" s="3">
        <f>RECEIPT!B397</f>
        <v>0</v>
      </c>
      <c r="C397" s="3" t="s">
        <v>7</v>
      </c>
      <c r="D397" s="3">
        <v>0</v>
      </c>
      <c r="E397" s="3">
        <f>RECEIPT!Q397</f>
        <v>0</v>
      </c>
      <c r="F397" s="3">
        <f>ISSUE!BC397</f>
        <v>0</v>
      </c>
      <c r="G397" s="3">
        <v>0</v>
      </c>
    </row>
    <row r="398" spans="1:7" x14ac:dyDescent="0.25">
      <c r="A398" s="7">
        <v>397</v>
      </c>
      <c r="B398" s="3">
        <f>RECEIPT!B398</f>
        <v>0</v>
      </c>
      <c r="C398" s="3" t="s">
        <v>7</v>
      </c>
      <c r="D398" s="3">
        <v>0</v>
      </c>
      <c r="E398" s="3">
        <f>RECEIPT!Q398</f>
        <v>0</v>
      </c>
      <c r="F398" s="3">
        <f>ISSUE!BC398</f>
        <v>0</v>
      </c>
      <c r="G398" s="3">
        <v>0</v>
      </c>
    </row>
    <row r="399" spans="1:7" x14ac:dyDescent="0.25">
      <c r="A399" s="7">
        <v>398</v>
      </c>
      <c r="B399" s="3">
        <f>RECEIPT!B399</f>
        <v>0</v>
      </c>
      <c r="C399" s="3" t="s">
        <v>7</v>
      </c>
      <c r="D399" s="3">
        <v>0</v>
      </c>
      <c r="E399" s="3">
        <f>RECEIPT!Q399</f>
        <v>0</v>
      </c>
      <c r="F399" s="3">
        <f>ISSUE!BC399</f>
        <v>0</v>
      </c>
      <c r="G399" s="3">
        <v>0</v>
      </c>
    </row>
    <row r="400" spans="1:7" x14ac:dyDescent="0.25">
      <c r="A400" s="7">
        <v>399</v>
      </c>
      <c r="B400" s="3">
        <f>RECEIPT!B400</f>
        <v>0</v>
      </c>
      <c r="C400" s="3" t="s">
        <v>7</v>
      </c>
      <c r="D400" s="3">
        <v>0</v>
      </c>
      <c r="E400" s="3">
        <f>RECEIPT!Q400</f>
        <v>0</v>
      </c>
      <c r="F400" s="3">
        <f>ISSUE!BC400</f>
        <v>0</v>
      </c>
      <c r="G400" s="3">
        <v>0</v>
      </c>
    </row>
    <row r="401" spans="1:7" x14ac:dyDescent="0.25">
      <c r="A401" s="7">
        <v>400</v>
      </c>
      <c r="B401" s="3">
        <f>RECEIPT!B401</f>
        <v>0</v>
      </c>
      <c r="C401" s="3" t="s">
        <v>7</v>
      </c>
      <c r="D401" s="3">
        <v>0</v>
      </c>
      <c r="E401" s="3">
        <f>RECEIPT!Q401</f>
        <v>0</v>
      </c>
      <c r="F401" s="3">
        <f>ISSUE!BC401</f>
        <v>0</v>
      </c>
      <c r="G401" s="3">
        <v>0</v>
      </c>
    </row>
    <row r="402" spans="1:7" x14ac:dyDescent="0.25">
      <c r="A402" s="7">
        <v>401</v>
      </c>
      <c r="B402" s="3">
        <f>RECEIPT!B402</f>
        <v>0</v>
      </c>
      <c r="C402" s="3" t="s">
        <v>7</v>
      </c>
      <c r="D402" s="3">
        <v>0</v>
      </c>
      <c r="E402" s="3">
        <f>RECEIPT!Q402</f>
        <v>0</v>
      </c>
      <c r="F402" s="3">
        <f>ISSUE!BC402</f>
        <v>0</v>
      </c>
      <c r="G402" s="3">
        <v>0</v>
      </c>
    </row>
    <row r="403" spans="1:7" x14ac:dyDescent="0.25">
      <c r="A403" s="7">
        <v>402</v>
      </c>
      <c r="B403" s="3">
        <f>RECEIPT!B403</f>
        <v>0</v>
      </c>
      <c r="C403" s="3" t="s">
        <v>7</v>
      </c>
      <c r="D403" s="3">
        <v>0</v>
      </c>
      <c r="E403" s="3">
        <f>RECEIPT!Q403</f>
        <v>0</v>
      </c>
      <c r="F403" s="3">
        <f>ISSUE!BC403</f>
        <v>0</v>
      </c>
      <c r="G403" s="3">
        <v>0</v>
      </c>
    </row>
    <row r="404" spans="1:7" x14ac:dyDescent="0.25">
      <c r="A404" s="7">
        <v>403</v>
      </c>
      <c r="B404" s="3">
        <f>RECEIPT!B404</f>
        <v>0</v>
      </c>
      <c r="C404" s="3" t="s">
        <v>7</v>
      </c>
      <c r="D404" s="3">
        <v>0</v>
      </c>
      <c r="E404" s="3">
        <f>RECEIPT!Q404</f>
        <v>0</v>
      </c>
      <c r="F404" s="3">
        <f>ISSUE!BC404</f>
        <v>0</v>
      </c>
      <c r="G404" s="3">
        <v>0</v>
      </c>
    </row>
    <row r="405" spans="1:7" x14ac:dyDescent="0.25">
      <c r="A405" s="7">
        <v>404</v>
      </c>
      <c r="B405" s="3">
        <f>RECEIPT!B405</f>
        <v>0</v>
      </c>
      <c r="C405" s="3" t="s">
        <v>7</v>
      </c>
      <c r="E405" s="3">
        <f>RECEIPT!Q405</f>
        <v>0</v>
      </c>
      <c r="F405" s="3">
        <f>ISSUE!BC405</f>
        <v>0</v>
      </c>
      <c r="G405" s="3">
        <v>0</v>
      </c>
    </row>
    <row r="406" spans="1:7" x14ac:dyDescent="0.25">
      <c r="A406" s="7">
        <v>405</v>
      </c>
      <c r="B406" s="3">
        <f>RECEIPT!B406</f>
        <v>0</v>
      </c>
      <c r="C406" s="3" t="s">
        <v>7</v>
      </c>
      <c r="E406" s="3">
        <f>RECEIPT!Q406</f>
        <v>0</v>
      </c>
      <c r="F406" s="3">
        <f>ISSUE!BC406</f>
        <v>0</v>
      </c>
      <c r="G406" s="3">
        <v>0</v>
      </c>
    </row>
    <row r="407" spans="1:7" x14ac:dyDescent="0.25">
      <c r="A407" s="7">
        <v>406</v>
      </c>
      <c r="B407" s="3">
        <f>RECEIPT!B407</f>
        <v>0</v>
      </c>
      <c r="C407" s="3" t="s">
        <v>7</v>
      </c>
      <c r="E407" s="3">
        <f>RECEIPT!Q407</f>
        <v>0</v>
      </c>
      <c r="F407" s="3">
        <f>ISSUE!BC407</f>
        <v>0</v>
      </c>
      <c r="G407" s="3">
        <v>0</v>
      </c>
    </row>
    <row r="408" spans="1:7" x14ac:dyDescent="0.25">
      <c r="A408" s="7">
        <v>407</v>
      </c>
      <c r="B408" s="3">
        <f>RECEIPT!B408</f>
        <v>0</v>
      </c>
      <c r="C408" s="3" t="s">
        <v>7</v>
      </c>
      <c r="E408" s="3">
        <f>RECEIPT!Q408</f>
        <v>0</v>
      </c>
      <c r="F408" s="3">
        <f>ISSUE!BC408</f>
        <v>0</v>
      </c>
      <c r="G408" s="3">
        <v>0</v>
      </c>
    </row>
    <row r="409" spans="1:7" x14ac:dyDescent="0.25">
      <c r="A409" s="7">
        <v>408</v>
      </c>
      <c r="C409" s="3" t="s">
        <v>7</v>
      </c>
      <c r="E409" s="3">
        <f>RECEIPT!Q409</f>
        <v>0</v>
      </c>
      <c r="F409" s="3">
        <f>ISSUE!BC409</f>
        <v>0</v>
      </c>
      <c r="G409" s="3">
        <v>0</v>
      </c>
    </row>
    <row r="410" spans="1:7" x14ac:dyDescent="0.25">
      <c r="A410" s="7">
        <v>409</v>
      </c>
      <c r="C410" s="3" t="s">
        <v>7</v>
      </c>
      <c r="G410" s="3">
        <v>0</v>
      </c>
    </row>
    <row r="411" spans="1:7" x14ac:dyDescent="0.25">
      <c r="A411" s="7">
        <v>410</v>
      </c>
      <c r="C411" s="3" t="s">
        <v>7</v>
      </c>
      <c r="G411" s="3">
        <v>0</v>
      </c>
    </row>
    <row r="412" spans="1:7" x14ac:dyDescent="0.25">
      <c r="A412" s="7">
        <v>411</v>
      </c>
      <c r="C412" s="3" t="s">
        <v>7</v>
      </c>
      <c r="G412" s="3">
        <v>0</v>
      </c>
    </row>
    <row r="413" spans="1:7" x14ac:dyDescent="0.25">
      <c r="A413" s="7">
        <v>412</v>
      </c>
      <c r="C413" s="3" t="s">
        <v>7</v>
      </c>
      <c r="G413" s="3">
        <v>0</v>
      </c>
    </row>
    <row r="414" spans="1:7" x14ac:dyDescent="0.25">
      <c r="A414" s="7">
        <v>413</v>
      </c>
      <c r="C414" s="3" t="s">
        <v>7</v>
      </c>
      <c r="G414" s="3">
        <v>0</v>
      </c>
    </row>
    <row r="415" spans="1:7" x14ac:dyDescent="0.25">
      <c r="A415" s="7">
        <v>414</v>
      </c>
      <c r="C415" s="3" t="s">
        <v>7</v>
      </c>
      <c r="G415" s="3">
        <v>0</v>
      </c>
    </row>
    <row r="416" spans="1:7" x14ac:dyDescent="0.25">
      <c r="A416" s="7">
        <v>415</v>
      </c>
      <c r="C416" s="3" t="s">
        <v>7</v>
      </c>
      <c r="G416" s="3">
        <v>0</v>
      </c>
    </row>
    <row r="417" spans="1:7" x14ac:dyDescent="0.25">
      <c r="A417" s="7">
        <v>416</v>
      </c>
      <c r="C417" s="3" t="s">
        <v>7</v>
      </c>
      <c r="G417" s="3">
        <v>0</v>
      </c>
    </row>
    <row r="418" spans="1:7" x14ac:dyDescent="0.25">
      <c r="A418" s="7">
        <v>417</v>
      </c>
      <c r="C418" s="3" t="s">
        <v>7</v>
      </c>
      <c r="G418" s="3">
        <v>0</v>
      </c>
    </row>
    <row r="419" spans="1:7" x14ac:dyDescent="0.25">
      <c r="A419" s="7">
        <v>418</v>
      </c>
      <c r="C419" s="3" t="s">
        <v>7</v>
      </c>
      <c r="G419" s="3">
        <v>0</v>
      </c>
    </row>
    <row r="420" spans="1:7" x14ac:dyDescent="0.25">
      <c r="A420" s="7">
        <v>419</v>
      </c>
      <c r="C420" s="3" t="s">
        <v>7</v>
      </c>
      <c r="G420" s="3">
        <v>0</v>
      </c>
    </row>
    <row r="421" spans="1:7" x14ac:dyDescent="0.25">
      <c r="A421" s="7">
        <v>420</v>
      </c>
      <c r="C421" s="3" t="s">
        <v>7</v>
      </c>
      <c r="G421" s="3">
        <v>0</v>
      </c>
    </row>
    <row r="422" spans="1:7" x14ac:dyDescent="0.25">
      <c r="A422" s="7">
        <v>421</v>
      </c>
      <c r="C422" s="3" t="s">
        <v>7</v>
      </c>
      <c r="G422" s="3">
        <v>0</v>
      </c>
    </row>
    <row r="423" spans="1:7" x14ac:dyDescent="0.25">
      <c r="A423" s="7">
        <v>422</v>
      </c>
      <c r="C423" s="3" t="s">
        <v>7</v>
      </c>
      <c r="G423" s="3">
        <v>0</v>
      </c>
    </row>
    <row r="424" spans="1:7" x14ac:dyDescent="0.25">
      <c r="A424" s="7">
        <v>423</v>
      </c>
      <c r="C424" s="3" t="s">
        <v>7</v>
      </c>
      <c r="G424" s="3">
        <v>0</v>
      </c>
    </row>
    <row r="425" spans="1:7" x14ac:dyDescent="0.25">
      <c r="A425" s="7">
        <v>424</v>
      </c>
      <c r="C425" s="3" t="s">
        <v>7</v>
      </c>
      <c r="G425" s="3">
        <v>0</v>
      </c>
    </row>
    <row r="426" spans="1:7" x14ac:dyDescent="0.25">
      <c r="A426" s="7">
        <v>425</v>
      </c>
      <c r="C426" s="3" t="s">
        <v>7</v>
      </c>
      <c r="G426" s="3">
        <v>0</v>
      </c>
    </row>
    <row r="427" spans="1:7" x14ac:dyDescent="0.25">
      <c r="A427" s="7">
        <v>426</v>
      </c>
      <c r="C427" s="3" t="s">
        <v>7</v>
      </c>
      <c r="G427" s="3">
        <v>0</v>
      </c>
    </row>
    <row r="428" spans="1:7" x14ac:dyDescent="0.25">
      <c r="A428" s="7">
        <v>427</v>
      </c>
      <c r="C428" s="3" t="s">
        <v>7</v>
      </c>
      <c r="G428" s="3">
        <v>0</v>
      </c>
    </row>
    <row r="429" spans="1:7" x14ac:dyDescent="0.25">
      <c r="A429" s="7">
        <v>428</v>
      </c>
      <c r="C429" s="3" t="s">
        <v>7</v>
      </c>
      <c r="G429" s="3">
        <v>0</v>
      </c>
    </row>
    <row r="430" spans="1:7" x14ac:dyDescent="0.25">
      <c r="A430" s="7">
        <v>429</v>
      </c>
      <c r="C430" s="3" t="s">
        <v>7</v>
      </c>
      <c r="G430" s="3">
        <v>0</v>
      </c>
    </row>
    <row r="431" spans="1:7" x14ac:dyDescent="0.25">
      <c r="A431" s="7">
        <v>430</v>
      </c>
      <c r="C431" s="3" t="s">
        <v>7</v>
      </c>
      <c r="G431" s="3">
        <v>0</v>
      </c>
    </row>
    <row r="432" spans="1:7" x14ac:dyDescent="0.25">
      <c r="A432" s="7">
        <v>431</v>
      </c>
      <c r="C432" s="3" t="s">
        <v>7</v>
      </c>
      <c r="G432" s="3">
        <v>0</v>
      </c>
    </row>
    <row r="433" spans="1:7" x14ac:dyDescent="0.25">
      <c r="A433" s="7">
        <v>432</v>
      </c>
      <c r="C433" s="3" t="s">
        <v>7</v>
      </c>
      <c r="G433" s="3">
        <v>0</v>
      </c>
    </row>
    <row r="434" spans="1:7" x14ac:dyDescent="0.25">
      <c r="A434" s="7">
        <v>433</v>
      </c>
      <c r="C434" s="3" t="s">
        <v>7</v>
      </c>
      <c r="G434" s="3">
        <v>0</v>
      </c>
    </row>
    <row r="435" spans="1:7" x14ac:dyDescent="0.25">
      <c r="A435" s="7">
        <v>434</v>
      </c>
      <c r="C435" s="3" t="s">
        <v>7</v>
      </c>
      <c r="G435" s="3">
        <v>0</v>
      </c>
    </row>
    <row r="436" spans="1:7" x14ac:dyDescent="0.25">
      <c r="A436" s="7">
        <v>435</v>
      </c>
      <c r="C436" s="3" t="s">
        <v>7</v>
      </c>
      <c r="G436" s="3">
        <v>0</v>
      </c>
    </row>
    <row r="437" spans="1:7" x14ac:dyDescent="0.25">
      <c r="A437" s="7">
        <v>436</v>
      </c>
      <c r="C437" s="3" t="s">
        <v>7</v>
      </c>
      <c r="G437" s="3">
        <v>0</v>
      </c>
    </row>
    <row r="438" spans="1:7" x14ac:dyDescent="0.25">
      <c r="A438" s="7">
        <v>437</v>
      </c>
      <c r="C438" s="3" t="s">
        <v>7</v>
      </c>
      <c r="G438" s="3">
        <v>0</v>
      </c>
    </row>
    <row r="439" spans="1:7" x14ac:dyDescent="0.25">
      <c r="A439" s="7">
        <v>438</v>
      </c>
      <c r="C439" s="3" t="s">
        <v>7</v>
      </c>
      <c r="G439" s="3">
        <v>0</v>
      </c>
    </row>
    <row r="440" spans="1:7" x14ac:dyDescent="0.25">
      <c r="A440" s="7">
        <v>439</v>
      </c>
      <c r="C440" s="3" t="s">
        <v>7</v>
      </c>
      <c r="G440" s="3">
        <v>0</v>
      </c>
    </row>
    <row r="441" spans="1:7" x14ac:dyDescent="0.25">
      <c r="A441" s="7">
        <v>440</v>
      </c>
      <c r="C441" s="3" t="s">
        <v>7</v>
      </c>
      <c r="G441" s="3">
        <v>0</v>
      </c>
    </row>
    <row r="442" spans="1:7" x14ac:dyDescent="0.25">
      <c r="A442" s="7">
        <v>441</v>
      </c>
      <c r="C442" s="3" t="s">
        <v>7</v>
      </c>
      <c r="G442" s="3">
        <v>0</v>
      </c>
    </row>
    <row r="443" spans="1:7" x14ac:dyDescent="0.25">
      <c r="A443" s="7">
        <v>442</v>
      </c>
      <c r="C443" s="3" t="s">
        <v>7</v>
      </c>
      <c r="G443" s="3">
        <v>0</v>
      </c>
    </row>
    <row r="444" spans="1:7" x14ac:dyDescent="0.25">
      <c r="A444" s="7">
        <v>443</v>
      </c>
      <c r="C444" s="3" t="s">
        <v>7</v>
      </c>
      <c r="G444" s="3">
        <v>0</v>
      </c>
    </row>
    <row r="445" spans="1:7" x14ac:dyDescent="0.25">
      <c r="A445" s="7">
        <v>444</v>
      </c>
      <c r="C445" s="3" t="s">
        <v>7</v>
      </c>
      <c r="G445" s="3">
        <v>0</v>
      </c>
    </row>
    <row r="446" spans="1:7" x14ac:dyDescent="0.25">
      <c r="A446" s="7">
        <v>445</v>
      </c>
      <c r="C446" s="3" t="s">
        <v>7</v>
      </c>
      <c r="G446" s="3">
        <v>0</v>
      </c>
    </row>
    <row r="447" spans="1:7" x14ac:dyDescent="0.25">
      <c r="A447" s="7">
        <v>446</v>
      </c>
      <c r="C447" s="3" t="s">
        <v>7</v>
      </c>
      <c r="G447" s="3">
        <v>0</v>
      </c>
    </row>
    <row r="448" spans="1:7" x14ac:dyDescent="0.25">
      <c r="A448" s="7">
        <v>447</v>
      </c>
      <c r="C448" s="3" t="s">
        <v>7</v>
      </c>
      <c r="G448" s="3">
        <v>0</v>
      </c>
    </row>
    <row r="449" spans="1:7" x14ac:dyDescent="0.25">
      <c r="A449" s="7">
        <v>448</v>
      </c>
      <c r="C449" s="3" t="s">
        <v>7</v>
      </c>
      <c r="G449" s="3">
        <v>0</v>
      </c>
    </row>
    <row r="450" spans="1:7" x14ac:dyDescent="0.25">
      <c r="A450" s="7">
        <v>449</v>
      </c>
      <c r="C450" s="3" t="s">
        <v>7</v>
      </c>
      <c r="G450" s="3">
        <v>0</v>
      </c>
    </row>
    <row r="451" spans="1:7" x14ac:dyDescent="0.25">
      <c r="A451" s="7">
        <v>450</v>
      </c>
      <c r="C451" s="3" t="s">
        <v>7</v>
      </c>
      <c r="G451" s="3">
        <v>0</v>
      </c>
    </row>
    <row r="452" spans="1:7" x14ac:dyDescent="0.25">
      <c r="A452" s="7">
        <v>451</v>
      </c>
      <c r="C452" s="3" t="s">
        <v>7</v>
      </c>
      <c r="G452" s="3">
        <v>0</v>
      </c>
    </row>
    <row r="453" spans="1:7" x14ac:dyDescent="0.25">
      <c r="A453" s="7">
        <v>452</v>
      </c>
      <c r="C453" s="3" t="s">
        <v>7</v>
      </c>
      <c r="G453" s="3">
        <v>0</v>
      </c>
    </row>
    <row r="454" spans="1:7" x14ac:dyDescent="0.25">
      <c r="A454" s="7">
        <v>453</v>
      </c>
      <c r="C454" s="3" t="s">
        <v>7</v>
      </c>
      <c r="G454" s="3">
        <v>0</v>
      </c>
    </row>
    <row r="455" spans="1:7" x14ac:dyDescent="0.25">
      <c r="A455" s="7">
        <v>454</v>
      </c>
      <c r="C455" s="3" t="s">
        <v>7</v>
      </c>
      <c r="G455" s="3">
        <v>0</v>
      </c>
    </row>
    <row r="456" spans="1:7" x14ac:dyDescent="0.25">
      <c r="A456" s="7">
        <v>455</v>
      </c>
      <c r="C456" s="3" t="s">
        <v>7</v>
      </c>
      <c r="G456" s="3">
        <v>0</v>
      </c>
    </row>
    <row r="457" spans="1:7" x14ac:dyDescent="0.25">
      <c r="A457" s="7">
        <v>456</v>
      </c>
      <c r="C457" s="3" t="s">
        <v>7</v>
      </c>
      <c r="G457" s="3">
        <v>0</v>
      </c>
    </row>
    <row r="458" spans="1:7" x14ac:dyDescent="0.25">
      <c r="A458" s="7">
        <v>457</v>
      </c>
      <c r="C458" s="3" t="s">
        <v>7</v>
      </c>
      <c r="G458" s="3">
        <v>0</v>
      </c>
    </row>
    <row r="459" spans="1:7" x14ac:dyDescent="0.25">
      <c r="A459" s="7">
        <v>458</v>
      </c>
      <c r="C459" s="3" t="s">
        <v>7</v>
      </c>
      <c r="G459" s="3">
        <v>0</v>
      </c>
    </row>
    <row r="460" spans="1:7" x14ac:dyDescent="0.25">
      <c r="A460" s="7">
        <v>459</v>
      </c>
      <c r="C460" s="3" t="s">
        <v>7</v>
      </c>
      <c r="G460" s="3">
        <v>0</v>
      </c>
    </row>
    <row r="461" spans="1:7" x14ac:dyDescent="0.25">
      <c r="A461" s="7">
        <v>460</v>
      </c>
      <c r="C461" s="3" t="s">
        <v>7</v>
      </c>
      <c r="G461" s="3">
        <v>0</v>
      </c>
    </row>
    <row r="462" spans="1:7" x14ac:dyDescent="0.25">
      <c r="A462" s="7">
        <v>461</v>
      </c>
      <c r="C462" s="3" t="s">
        <v>7</v>
      </c>
      <c r="G462" s="3">
        <v>0</v>
      </c>
    </row>
    <row r="463" spans="1:7" x14ac:dyDescent="0.25">
      <c r="A463" s="7">
        <v>462</v>
      </c>
      <c r="C463" s="3" t="s">
        <v>7</v>
      </c>
      <c r="G463" s="3">
        <v>0</v>
      </c>
    </row>
    <row r="464" spans="1:7" x14ac:dyDescent="0.25">
      <c r="A464" s="7">
        <v>463</v>
      </c>
      <c r="C464" s="3" t="s">
        <v>7</v>
      </c>
      <c r="G464" s="3">
        <v>0</v>
      </c>
    </row>
    <row r="465" spans="1:7" x14ac:dyDescent="0.25">
      <c r="A465" s="7">
        <v>464</v>
      </c>
      <c r="C465" s="3" t="s">
        <v>7</v>
      </c>
      <c r="G465" s="3">
        <v>0</v>
      </c>
    </row>
    <row r="466" spans="1:7" x14ac:dyDescent="0.25">
      <c r="A466" s="7">
        <v>465</v>
      </c>
      <c r="C466" s="3" t="s">
        <v>7</v>
      </c>
      <c r="G466" s="3">
        <v>0</v>
      </c>
    </row>
    <row r="467" spans="1:7" x14ac:dyDescent="0.25">
      <c r="A467" s="7">
        <v>466</v>
      </c>
      <c r="C467" s="3" t="s">
        <v>7</v>
      </c>
      <c r="G467" s="3">
        <v>0</v>
      </c>
    </row>
    <row r="468" spans="1:7" x14ac:dyDescent="0.25">
      <c r="A468" s="7">
        <v>467</v>
      </c>
      <c r="C468" s="3" t="s">
        <v>7</v>
      </c>
      <c r="G468" s="3">
        <v>0</v>
      </c>
    </row>
    <row r="469" spans="1:7" x14ac:dyDescent="0.25">
      <c r="A469" s="7">
        <v>468</v>
      </c>
      <c r="C469" s="3" t="s">
        <v>7</v>
      </c>
      <c r="G469" s="3">
        <v>0</v>
      </c>
    </row>
    <row r="470" spans="1:7" x14ac:dyDescent="0.25">
      <c r="A470" s="7">
        <v>469</v>
      </c>
      <c r="C470" s="3" t="s">
        <v>7</v>
      </c>
      <c r="G470" s="3">
        <v>0</v>
      </c>
    </row>
    <row r="471" spans="1:7" x14ac:dyDescent="0.25">
      <c r="A471" s="7">
        <v>470</v>
      </c>
      <c r="C471" s="3" t="s">
        <v>7</v>
      </c>
      <c r="G471" s="3">
        <v>0</v>
      </c>
    </row>
    <row r="472" spans="1:7" x14ac:dyDescent="0.25">
      <c r="A472" s="7">
        <v>471</v>
      </c>
      <c r="C472" s="3" t="s">
        <v>7</v>
      </c>
      <c r="G472" s="3">
        <v>0</v>
      </c>
    </row>
    <row r="473" spans="1:7" x14ac:dyDescent="0.25">
      <c r="A473" s="7">
        <v>472</v>
      </c>
      <c r="C473" s="3" t="s">
        <v>7</v>
      </c>
      <c r="G473" s="3">
        <v>0</v>
      </c>
    </row>
    <row r="474" spans="1:7" x14ac:dyDescent="0.25">
      <c r="A474" s="7">
        <v>473</v>
      </c>
      <c r="C474" s="3" t="s">
        <v>7</v>
      </c>
      <c r="G474" s="3">
        <v>0</v>
      </c>
    </row>
    <row r="475" spans="1:7" x14ac:dyDescent="0.25">
      <c r="A475" s="7">
        <v>474</v>
      </c>
      <c r="C475" s="3" t="s">
        <v>7</v>
      </c>
      <c r="G475" s="3">
        <v>0</v>
      </c>
    </row>
    <row r="476" spans="1:7" x14ac:dyDescent="0.25">
      <c r="A476" s="7">
        <v>475</v>
      </c>
      <c r="C476" s="3" t="s">
        <v>7</v>
      </c>
      <c r="G476" s="3">
        <v>0</v>
      </c>
    </row>
  </sheetData>
  <autoFilter ref="A1:G47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RECEIPT</vt:lpstr>
      <vt:lpstr>ISSUE</vt:lpstr>
      <vt:lpstr>BALANCE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om</cp:lastModifiedBy>
  <dcterms:created xsi:type="dcterms:W3CDTF">2025-07-01T09:17:59Z</dcterms:created>
  <dcterms:modified xsi:type="dcterms:W3CDTF">2025-10-04T11:01:53Z</dcterms:modified>
</cp:coreProperties>
</file>